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icva\Documents\universidad\Colivi-TFG\docs\"/>
    </mc:Choice>
  </mc:AlternateContent>
  <xr:revisionPtr revIDLastSave="0" documentId="13_ncr:1_{54BFA7AC-EE69-4DEF-B34F-440E0A771D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agrama_Gantt_WBS" sheetId="3" r:id="rId1"/>
    <sheet name="Gantt_y_Comparativa" sheetId="1" r:id="rId2"/>
    <sheet name="Gantt_Detalle_PR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E19" i="3"/>
  <c r="D19" i="3"/>
  <c r="C19" i="3"/>
  <c r="G18" i="3"/>
  <c r="F18" i="3"/>
  <c r="E18" i="3"/>
  <c r="D18" i="3"/>
  <c r="C18" i="3"/>
  <c r="B18" i="3"/>
  <c r="A18" i="3"/>
  <c r="G17" i="3"/>
  <c r="F17" i="3"/>
  <c r="E17" i="3"/>
  <c r="D17" i="3"/>
  <c r="C17" i="3"/>
  <c r="B17" i="3"/>
  <c r="A17" i="3"/>
  <c r="G16" i="3"/>
  <c r="F16" i="3"/>
  <c r="E16" i="3"/>
  <c r="D16" i="3"/>
  <c r="C16" i="3"/>
  <c r="B16" i="3"/>
  <c r="A16" i="3"/>
  <c r="G15" i="3"/>
  <c r="F15" i="3"/>
  <c r="E15" i="3"/>
  <c r="D15" i="3"/>
  <c r="C15" i="3"/>
  <c r="B15" i="3"/>
  <c r="A15" i="3"/>
  <c r="G14" i="3"/>
  <c r="F14" i="3"/>
  <c r="E14" i="3"/>
  <c r="D14" i="3"/>
  <c r="C14" i="3"/>
  <c r="B14" i="3"/>
  <c r="A14" i="3"/>
  <c r="G13" i="3"/>
  <c r="F13" i="3"/>
  <c r="E13" i="3"/>
  <c r="D13" i="3"/>
  <c r="C13" i="3"/>
  <c r="B13" i="3"/>
  <c r="A13" i="3"/>
  <c r="G12" i="3"/>
  <c r="F12" i="3"/>
  <c r="E12" i="3"/>
  <c r="D12" i="3"/>
  <c r="C12" i="3"/>
  <c r="B12" i="3"/>
  <c r="A12" i="3"/>
  <c r="G11" i="3"/>
  <c r="F11" i="3"/>
  <c r="E11" i="3"/>
  <c r="D11" i="3"/>
  <c r="C11" i="3"/>
  <c r="B11" i="3"/>
  <c r="A11" i="3"/>
  <c r="G10" i="3"/>
  <c r="F10" i="3"/>
  <c r="E10" i="3"/>
  <c r="D10" i="3"/>
  <c r="C10" i="3"/>
  <c r="B10" i="3"/>
  <c r="A10" i="3"/>
  <c r="G9" i="3"/>
  <c r="F9" i="3"/>
  <c r="E9" i="3"/>
  <c r="D9" i="3"/>
  <c r="C9" i="3"/>
  <c r="B9" i="3"/>
  <c r="A9" i="3"/>
  <c r="G8" i="3"/>
  <c r="F8" i="3"/>
  <c r="E8" i="3"/>
  <c r="D8" i="3"/>
  <c r="C8" i="3"/>
  <c r="B8" i="3"/>
  <c r="A8" i="3"/>
  <c r="G7" i="3"/>
  <c r="F7" i="3"/>
  <c r="E7" i="3"/>
  <c r="D7" i="3"/>
  <c r="C7" i="3"/>
  <c r="B7" i="3"/>
  <c r="A7" i="3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F18" i="1"/>
  <c r="F17" i="1"/>
  <c r="F16" i="1"/>
  <c r="F15" i="1"/>
  <c r="F14" i="1"/>
  <c r="F13" i="1"/>
  <c r="F12" i="1"/>
  <c r="F11" i="1"/>
  <c r="F10" i="1"/>
  <c r="F9" i="1"/>
  <c r="F8" i="1"/>
  <c r="F7" i="1"/>
  <c r="G19" i="1"/>
</calcChain>
</file>

<file path=xl/sharedStrings.xml><?xml version="1.0" encoding="utf-8"?>
<sst xmlns="http://schemas.openxmlformats.org/spreadsheetml/2006/main" count="806" uniqueCount="498">
  <si>
    <t>COLIVI TFG - CRONOGRAMA INTEGRAL, ESTIMACIÓN INICIAL Y ANÁLISIS DE DESVIACIONES</t>
  </si>
  <si>
    <t>Consolidación en una sola vista del WBS ejecutado (12 módulos, 42 PRs), plan teórico (CLAUDE.md), matriz comparativa y justificaciones metodológicas del TFG.</t>
  </si>
  <si>
    <t>SECCIÓN 1: CRONOGRAMA REAL EJECUTADO POR MÓDULOS FUNCIONALES (WBS)</t>
  </si>
  <si>
    <t>JUNIO 2026</t>
  </si>
  <si>
    <t>JULIO 2026</t>
  </si>
  <si>
    <t>AGOSTO 2026</t>
  </si>
  <si>
    <t>SEPTIEMBRE 2026</t>
  </si>
  <si>
    <t>Código WBS</t>
  </si>
  <si>
    <t>Módulo Funcional</t>
  </si>
  <si>
    <t>Alcance y Entregables Clave</t>
  </si>
  <si>
    <t>Fecha Inicio</t>
  </si>
  <si>
    <t>Fecha Fin</t>
  </si>
  <si>
    <t>Duración (Días)</t>
  </si>
  <si>
    <t>Nº PRs</t>
  </si>
  <si>
    <t>PRs Asociadas</t>
  </si>
  <si>
    <t>Estado</t>
  </si>
  <si>
    <t>S1 (01/06)</t>
  </si>
  <si>
    <t>S2 (08/06)</t>
  </si>
  <si>
    <t>S3 (15/06)</t>
  </si>
  <si>
    <t>S4 (22/06)</t>
  </si>
  <si>
    <t>S5 (29/06)</t>
  </si>
  <si>
    <t>S6 (06/07)</t>
  </si>
  <si>
    <t>S7 (13/07)</t>
  </si>
  <si>
    <t>S8 (20/07)</t>
  </si>
  <si>
    <t>S9 (27/07)</t>
  </si>
  <si>
    <t>S10 (03/08)</t>
  </si>
  <si>
    <t>S11 (10/08)</t>
  </si>
  <si>
    <t>S12 (17/08)</t>
  </si>
  <si>
    <t>S13 (24/08)</t>
  </si>
  <si>
    <t>S14 (31/08)</t>
  </si>
  <si>
    <t>S15 (07/09)</t>
  </si>
  <si>
    <t>S16 (14/09)</t>
  </si>
  <si>
    <t>S17 (21/09)</t>
  </si>
  <si>
    <t>S18 (28/09)</t>
  </si>
  <si>
    <t>F01</t>
  </si>
  <si>
    <t>Arquitectura Base, Infraestructura y DevOps</t>
  </si>
  <si>
    <t>Configuración de repositorio, pipelines CI/CD, Docker Compose, desacoplamiento SOLID y arquitectura limpia.</t>
  </si>
  <si>
    <t>2026-06-01</t>
  </si>
  <si>
    <t>#1, #28, #35, #37, #41, #52</t>
  </si>
  <si>
    <t>Completado</t>
  </si>
  <si>
    <t>[====]</t>
  </si>
  <si>
    <t>F02</t>
  </si>
  <si>
    <t>Gestión de Usuarios, Autenticación y Perfiles</t>
  </si>
  <si>
    <t>Autenticación stateless JWT, OAuth2 con Google, recuperación de contraseña, perfiles de usuario y borrado lógico.</t>
  </si>
  <si>
    <t>#2, #3, #30, #31, #43, #46, #47, #48, #54, #60</t>
  </si>
  <si>
    <t>F03</t>
  </si>
  <si>
    <t>Gestión de Alojamientos y Catálogo</t>
  </si>
  <si>
    <t>Publicación de inmuebles, catálogo de comodidades para coliving, filtros avanzados, mapas interactivos y recomendador.</t>
  </si>
  <si>
    <t>#29, #33, #45, #49, #50, #55</t>
  </si>
  <si>
    <t>F04</t>
  </si>
  <si>
    <t>Solicitudes de Reserva y Pagos de Fianza</t>
  </si>
  <si>
    <t>Ciclo de reservas de estancia, validación de meses completos, control de concurrencia, deep-linking y depósito de fianza.</t>
  </si>
  <si>
    <t>#32, #34, #36, #44, #51</t>
  </si>
  <si>
    <t>F05</t>
  </si>
  <si>
    <t>Gestión de Hogares y Convivencia</t>
  </si>
  <si>
    <t>Administración de unidades de convivencia (Hogares), asignación de inquilinos y registro cronológico de actividad.</t>
  </si>
  <si>
    <t>#38, #40, #58</t>
  </si>
  <si>
    <t>F06</t>
  </si>
  <si>
    <t>Gestión de Gastos Compartidos (Expenses)</t>
  </si>
  <si>
    <t>Reparto proporcional de gastos comunes, cálculo dinámico de deudas, liquidación de saldos y auditoría contable.</t>
  </si>
  <si>
    <t>#39, #59</t>
  </si>
  <si>
    <t>F07</t>
  </si>
  <si>
    <t>Sistema de Denuncias, Reseñas y Moderación</t>
  </si>
  <si>
    <t>Canal de reporte de incidencias, valoraciones verificadas, ranking de moderación y resolución administrativa en cascada.</t>
  </si>
  <si>
    <t>#42, #53, #56, #57</t>
  </si>
  <si>
    <t>F08</t>
  </si>
  <si>
    <t>Tareas Domésticas y Gamificación (Chores)</t>
  </si>
  <si>
    <t>Asignación rotativa automatizada de tareas (round-robin), periodicidad recurrente y tabla de puntuación (leaderboard).</t>
  </si>
  <si>
    <t>#61</t>
  </si>
  <si>
    <t>F09</t>
  </si>
  <si>
    <t>Sistema de Mensajería Interna</t>
  </si>
  <si>
    <t>Canal de mensajería privada entre miembros y propietarios, persistencia de chats e integración con reportes.</t>
  </si>
  <si>
    <t>#62</t>
  </si>
  <si>
    <t>F10</t>
  </si>
  <si>
    <t>Asistente Virtual Inteligente (IA &amp; MCP)</t>
  </si>
  <si>
    <t>Integración de Spring AI con Model Context Protocol (MCP), orquestación de herramientas y widget React Copilot.</t>
  </si>
  <si>
    <t>#63</t>
  </si>
  <si>
    <t>F11</t>
  </si>
  <si>
    <t>Adaptabilidad Móvil y Despliegue Android</t>
  </si>
  <si>
    <t>Optimización ergonómica responsive para móviles, integración con Capacitor y empaquetado del APK de Android.</t>
  </si>
  <si>
    <t>2026-09-21</t>
  </si>
  <si>
    <t>#64, #65</t>
  </si>
  <si>
    <t>F12</t>
  </si>
  <si>
    <t>Cumplimiento Legal y Privacidad (RGPD)</t>
  </si>
  <si>
    <t>Plataforma de gestión de consentimiento (CMP), políticas de privacidad, términos legales y adaptación LOPDGDD.</t>
  </si>
  <si>
    <t>#66</t>
  </si>
  <si>
    <t>TOTALES</t>
  </si>
  <si>
    <t>12 Módulos Funcionales</t>
  </si>
  <si>
    <t>Cobertura funcional integral del proyecto</t>
  </si>
  <si>
    <t>42 PRs Aprobadas</t>
  </si>
  <si>
    <t>100%</t>
  </si>
  <si>
    <t>SECCIÓN 2: ESTIMACIÓN INICIAL DE TIEMPOS (PLAN MAESTRO CLAUDE.MD)</t>
  </si>
  <si>
    <t>CRONOGRAMA TEÓRICO ESTIMADO (SEMANAS 0 A 9)</t>
  </si>
  <si>
    <t>Fase</t>
  </si>
  <si>
    <t>Nombre de la Fase</t>
  </si>
  <si>
    <t>Objetivo y Entregable Verificable</t>
  </si>
  <si>
    <t>Ventana Estimada</t>
  </si>
  <si>
    <t>Módulo Principal</t>
  </si>
  <si>
    <t>Duración (Sem.)</t>
  </si>
  <si>
    <t>Nº Tareas</t>
  </si>
  <si>
    <t>Metodología / SOLID</t>
  </si>
  <si>
    <t>Módulo Real (WBS)</t>
  </si>
  <si>
    <t>Sem 0</t>
  </si>
  <si>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</si>
  <si>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</si>
  <si>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</si>
  <si>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</si>
  <si>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</si>
  <si>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</si>
  <si>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</si>
  <si>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</si>
  <si>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</si>
  <si>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Fase 0</t>
  </si>
  <si>
    <t>Configuración del Entorno y Scaffolding</t>
  </si>
  <si>
    <t>Objetivo: Tener un entorno de desarrollo funcional con todas las herramientas configuradas antes de escribir una sola línea de lógica. | Entregable: docker-compose up levanta PostgreSQL, backend arranca con 200 OK en /api/v1/health, frontend carga en localhost:3000.</t>
  </si>
  <si>
    <t>Semana 0</t>
  </si>
  <si>
    <t>Scaffolding, Docker, esquema BD</t>
  </si>
  <si>
    <t>Monorepo modular, Docker Compose, Flyway V1__init_schema.</t>
  </si>
  <si>
    <t xml:space="preserve">F01 (Arquitectura </t>
  </si>
  <si>
    <t>Fase 1</t>
  </si>
  <si>
    <t>Núcleo de Seguridad y Gestión de Usuarios</t>
  </si>
  <si>
    <t>Objetivo: Sistema de autenticación robusto y gestión de perfiles de usuario. | Entregable: Un usuario puede registrarse, iniciar sesión y obtener su perfil con token JWT válido. Intentos erróneos devuelven 401.</t>
  </si>
  <si>
    <t>Semanas 1-2</t>
  </si>
  <si>
    <t>Autenticación JWT y gestión de usuarios</t>
  </si>
  <si>
    <t>SRP (IUserService, ITokenProvider), DIP (SecurityConfig desacoplado de la implementación).</t>
  </si>
  <si>
    <t>F02 (Gestión de Us</t>
  </si>
  <si>
    <t>Fase 2</t>
  </si>
  <si>
    <t>Motor Financiero (TDD Obligatorio)</t>
  </si>
  <si>
    <t>Objetivo: Implementar el núcleo del módulo de gastos compartidos con cobertura de tests completa antes de escribir el código de producción. | Entregable: Cobertura tests &gt; 90 % en clases financieras. Endpoint de balances devuelve el grafo de deudas simplificado.</t>
  </si>
  <si>
    <t>Semanas 3-4</t>
  </si>
  <si>
    <t>Motor financiero (TDD) — Gastos y deudas</t>
  </si>
  <si>
    <t>TDD estricto (Red-Green-Refactor), OCP (DebtSimplifierEngine intercambiable), SRP (ExpenseService).</t>
  </si>
  <si>
    <t>F06 (Gestión de Ga</t>
  </si>
  <si>
    <t>Fase 3</t>
  </si>
  <si>
    <t>Subsistema de Auditoría e Inmutabilidad</t>
  </si>
  <si>
    <t>Objetivo: Implementar la capa de trazabilidad append-only con captura automática de snapshots JSONB. | Entregable: Cualquier mutación sobre EXPENSE o TASK genera snapshot inmutable. Feed de actividad cronológico funcional.</t>
  </si>
  <si>
    <t>Semana 5</t>
  </si>
  <si>
    <t>Auditoría inmutable y feed de actividad</t>
  </si>
  <si>
    <t>SRP (IAuditService), ISP (AuditLogRepository append-only sin delete/update), DIP (listeners JPA y trigger PostgreSQL).</t>
  </si>
  <si>
    <t>F05 (Gestión de Ho</t>
  </si>
  <si>
    <t>Fase 4</t>
  </si>
  <si>
    <t>Módulo de Alojamiento: Estructura Física e Imágenes</t>
  </si>
  <si>
    <t>Objetivo: Implementar la base de datos de las propiedades físicas (Accommodation) y la integración de almacenamiento cloud en Cloudinary. | Entregable: Un propietario autenticado puede registrar su propiedad física, geolocalizarla con coordenadas y subir imágenes a Cloudinary.</t>
  </si>
  <si>
    <t>Semana 6</t>
  </si>
  <si>
    <t>Propiedades físicas (Accommodation) e imágenes Cloudinary</t>
  </si>
  <si>
    <t>SRP (IAccommodationService inventario físico), OCP/DIP (IImageStorageService desacoplado del proveedor cloud).</t>
  </si>
  <si>
    <t>F03 (Gestión de Al</t>
  </si>
  <si>
    <t>Fase 5</t>
  </si>
  <si>
    <t>Publicación y Catálogo Comercial (Listings)</t>
  </si>
  <si>
    <t>Objetivo: Implementar publicación de anuncios comerciales (AccommodationListing), buscador con filtros y mapas, y moderación admin. | Entregable: Propietario con &gt;= 2 imágenes publica anuncio; tras aprobación admin entra en estado AVAILABLE en catálogo y mapa interactivo.</t>
  </si>
  <si>
    <t>Semana 7</t>
  </si>
  <si>
    <t>Publicación comercial (AccommodationListing) y moderación</t>
  </si>
  <si>
    <t>SRP (IAccommodationListingService, IAccommodationReportService, IReviewService independientes).</t>
  </si>
  <si>
    <t>F03 (Alojamientos)</t>
  </si>
  <si>
    <t>Fase 6</t>
  </si>
  <si>
    <t>Frontend Core (Desarrollo en Paralelo)</t>
  </si>
  <si>
    <t>Objetivo: Desarrollar la interfaz web completa para usuarios y administradores, consumiendo los endpoints REST de forma reactiva. | Entregable: Flujo visual y navegable completo de usuario y administrador en el frontend Next.js con Tailwind consumiendo Spring Boot.</t>
  </si>
  <si>
    <t>Semanas 6-7</t>
  </si>
  <si>
    <t>Frontend Core (desarrollado en paralelo a Fases 4 y 5)</t>
  </si>
  <si>
    <t>Frontend-First, Zustand para autenticación, React Query para sincronización de servidor, componentes modulares.</t>
  </si>
  <si>
    <t>Transversal (Integ</t>
  </si>
  <si>
    <t>Fase 7</t>
  </si>
  <si>
    <t>Servidor MCP e Integración IA</t>
  </si>
  <si>
    <t>Objetivo: Construir el servidor MCP independiente y conectar la interfaz de chat del frontend para consultas en lenguaje natural. | Entregable: El usuario resuelve dudas ('¿Quién modificó el gasto?') mediante LLM llamando a herramientas MCP con seguridad multi-tenant.</t>
  </si>
  <si>
    <t>Semana 8</t>
  </si>
  <si>
    <t>Servidor MCP e integración del chat IA</t>
  </si>
  <si>
    <t>Model Context Protocol (JSON-RPC 2.0), proxy autenticado sin almacenar tokens, esquemas Zod.</t>
  </si>
  <si>
    <t>F10 (Asistente Vir</t>
  </si>
  <si>
    <t>Fase 8</t>
  </si>
  <si>
    <t>Hardening, Documentación y Despliegue</t>
  </si>
  <si>
    <t>Objetivo: Preparar el proyecto para entrega académica con calidad de producción. | Entregable: Proyecto arranca con un único docker-compose up. Documentación OpenAPI en /swagger-ui.html y README completo.</t>
  </si>
  <si>
    <t>Semana 9</t>
  </si>
  <si>
    <t>Hardening, documentación y despliegue</t>
  </si>
  <si>
    <t>Cobertura de tests &gt;= 80%, perfiles Spring dev/prod, OpenAPI 3.0, CI/CD hardening.</t>
  </si>
  <si>
    <t xml:space="preserve">F01 (DevOps), F11 </t>
  </si>
  <si>
    <t>TOTAL</t>
  </si>
  <si>
    <t>9 Fases de Desarrollo</t>
  </si>
  <si>
    <t>Entorno arrancable, TDD obligatorio y documentación completa</t>
  </si>
  <si>
    <t>Semanas 0 a 9</t>
  </si>
  <si>
    <t>Plan Teórico Base</t>
  </si>
  <si>
    <t>TDD y SOLID transversal</t>
  </si>
  <si>
    <t>Base de partida</t>
  </si>
  <si>
    <t>SECCIÓN 3: ANÁLISIS COMPARATIVO DIRECTO Y JUSTIFICACIONES TÉCNICAS (GAP ANALYSIS)</t>
  </si>
  <si>
    <t>Evaluación metodológica de las desviaciones temporales y justificación académica de la ampliación del alcance funcional (Scope Expansion).</t>
  </si>
  <si>
    <t>ID</t>
  </si>
  <si>
    <t>Módulo / Dimensión Evaluada</t>
  </si>
  <si>
    <t>Plan Teórico Estimado (CLAUDE.md)</t>
  </si>
  <si>
    <t>Ejecución Real (Repositorio / 42 PRs)</t>
  </si>
  <si>
    <t>Variación / Desviación</t>
  </si>
  <si>
    <t>Justificación Académica y Ampliación de Alcance para la Memoria del TFG</t>
  </si>
  <si>
    <t>C01</t>
  </si>
  <si>
    <t>Horizonte Temporal y Esfuerzo Global</t>
  </si>
  <si>
    <t>10 semanas estimadas (Semanas 0 a 9) con dedicación secuencial prevista.</t>
  </si>
  <si>
    <t>16 semanas reales (113 días naturales: 01/06/2026 al 21/09/2026). 42 PRs aprobadas.</t>
  </si>
  <si>
    <t>+6 semanas (+60% de maduración temporal sobre la estimación inicial).</t>
  </si>
  <si>
    <t>La ampliación temporal responde a la transición de un prototipo monorepo básico hacia una plataforma completa con arquitectura limpia hexagonal, transacciones económicas seguras, empaquetado nativo para Android (Capacitor), gamificación de convivencia y cumplimiento estricto del RGPD europeo. Justifica con creces las ~300 horas correspondientes a los 12 créditos ECTS del TFG.</t>
  </si>
  <si>
    <t>C02</t>
  </si>
  <si>
    <t>F01: Arquitectura Base, Infraestructura y DevOps</t>
  </si>
  <si>
    <t>Fase 0 (Semana 0) y Fase 8 (Semana 9): Scaffolding inicial y hardening final.</t>
  </si>
  <si>
    <t>Módulo transversal F01 (6 PRs: #1, #28, #35, #37, #41, #52) activo del 01/06 al 30/08 (91 días).</t>
  </si>
  <si>
    <t>Evolución continua de infraestructura a lo largo de todo el ciclo de vida.</t>
  </si>
  <si>
    <t>La infraestructura no fue un hito cerrado al inicio, sino una refactorización continua basada en principios SOLID: desacoplamiento de excepciones del dominio de la capa web, control de concurrencia con eventos de bloqueo transaccional y optimización de Docker Compose.</t>
  </si>
  <si>
    <t>C03</t>
  </si>
  <si>
    <t>F02: Gestión de Usuarios, Autenticación y Perfiles</t>
  </si>
  <si>
    <t>Fase 1 (Semanas 1-2): Registro, login con JWT y perfil de usuario simple.</t>
  </si>
  <si>
    <t>Módulo F02 (10 PRs: #2, #3, #30, #31, #43, #46, #47, #48, #54, #60) de 28/06 a 04/09 (69 días).</t>
  </si>
  <si>
    <t>+5 semanas de desarrollo iterativo en seguridad, recuperación y ciclo de cuenta.</t>
  </si>
  <si>
    <t>Se amplió sustancialmente la seguridad mediante autenticación OAuth2 con Google, recuperación de contraseña tokenizada por correo, capa transversal de control de usuarios suspendidos/baneados (código HTTP 403 dinámico) y borrado lógico con derecho al olvido (soft delete).</t>
  </si>
  <si>
    <t>C04</t>
  </si>
  <si>
    <t>F03: Gestión de Alojamientos y Catálogo</t>
  </si>
  <si>
    <t>Fases 4 y 5 (Semanas 6-7): Propiedades físicas, subida a Cloudinary y listings.</t>
  </si>
  <si>
    <t>Módulo F03 (6 PRs: #29, #33, #45, #49, #50, #55) de 05/07 a 30/08 (57 días).</t>
  </si>
  <si>
    <t>Desarrollo simultáneo y sincronizado de backend y frontend a lo largo de 8 semanas.</t>
  </si>
  <si>
    <t>Ampliación del catálogo con comodidades exclusivas de coliving, mapas interactivos con cálculo geoespacial de radio dinámico y un motor heurístico de recomendaciones personalizadas basado en el historial de búsquedas recientes del usuario.</t>
  </si>
  <si>
    <t>C05</t>
  </si>
  <si>
    <t>F04: Solicitudes de Reserva y Pagos de Fianza</t>
  </si>
  <si>
    <t>Mencionado como submódulo simplificado contractual en Listings.</t>
  </si>
  <si>
    <t>Módulo independiente F04 (5 PRs: #32, #34, #36, #44, #51) de 13/07 a 30/08 (49 días).</t>
  </si>
  <si>
    <t>Creación de un dominio transaccional de alta complejidad no dimensionado en el plan.</t>
  </si>
  <si>
    <t>Implementación de máquina de estados determinista para reservas, validación estricta de meses de estancia para evitar solapamientos, tests de integración E2E, deep-linking y pasarela simulada de retención y liquidación de depósitos de fianza.</t>
  </si>
  <si>
    <t>C06</t>
  </si>
  <si>
    <t>F05: Gestión de Hogares y Convivencia</t>
  </si>
  <si>
    <t>Fase 3 (Semana 5): Subsistema de auditoría inmutable append-only.</t>
  </si>
  <si>
    <t>Módulo F05 (3 PRs: #38, #40, #58) de 31/07 a 03/09 (35 días).</t>
  </si>
  <si>
    <t>Cohesión entre el espacio multi-tenant de coliving y la trazabilidad de eventos.</t>
  </si>
  <si>
    <t>Desarrollo del espacio multi-tenant del hogar compartido, gestión de convivientes condicionada a saldo cero y feed cronológico de eventos (Activity Log) desacoplado mediante formateo modular de estrategias.</t>
  </si>
  <si>
    <t>C07</t>
  </si>
  <si>
    <t>F06: Gestión de Gastos Compartidos (Expenses)</t>
  </si>
  <si>
    <t>Fase 2 (Semanas 3-4): Motor financiero TDD de gastos y deudas simplificadas.</t>
  </si>
  <si>
    <t>Módulo F06 (2 PRs: #39, #59) de 07/08 a 03/09 (28 días).</t>
  </si>
  <si>
    <t>Ejecución rigurosa bajo TDD con posterior refinamiento funcional en septiembre.</t>
  </si>
  <si>
    <t>Implementación exitosa del algoritmo de simplificación de deudas en memoria mediante grafo de tránsito sin reescribir la BD, complementado posteriormente con liquidaciones de deuda parciales, edición de gastos y auditoría.</t>
  </si>
  <si>
    <t>C08</t>
  </si>
  <si>
    <t>F07: Sistema de Denuncias, Reseñas y Moderación</t>
  </si>
  <si>
    <t>Submódulo simple de reportes incluido tangencialmente en Fase 5.</t>
  </si>
  <si>
    <t>Módulo completo F07 (4 PRs: #42, #53, #56, #57) de 09/08 a 02/09 (25 días).</t>
  </si>
  <si>
    <t>Ampliación hacia un subsistema administrativo completo de moderación y confianza.</t>
  </si>
  <si>
    <t>Creación del sistema de valoraciones bidireccionales verificadas tras la estancia, regla preventiva de auto-moderación atómica ante denuncias reiteradas y panel de administración con ranking de moderación activa y resolución en cascada.</t>
  </si>
  <si>
    <t>C09</t>
  </si>
  <si>
    <t>F08: Tareas Domésticas y Gamificación (Chores)</t>
  </si>
  <si>
    <t>CRUD básico de tareas (Task) sin dinámicas de gamificación.</t>
  </si>
  <si>
    <t>Módulo F08 (PR #61) completado el 06/09/2026 tras diseño algorítmico previo.</t>
  </si>
  <si>
    <t>Nueva funcionalidad diferenciadora incorporada al alcance del proyecto.</t>
  </si>
  <si>
    <t>Algoritmo rotativo round-robin para asignación automatizada de tareas periódicas del hogar y clasificación por puntos (leaderboard) para incentivar la colaboración y evitar fricciones de convivencia mediante gamificación.</t>
  </si>
  <si>
    <t>C10</t>
  </si>
  <si>
    <t>F09: Sistema de Mensajería Interna</t>
  </si>
  <si>
    <t>Mensajes básicos vinculados a publicaciones en Fase 5.</t>
  </si>
  <si>
    <t>Módulo F09 (PR #62) de 07/09 a 08/09 (2 días).</t>
  </si>
  <si>
    <t>Canal de comunicación en tiempo real independiente del asistente de IA.</t>
  </si>
  <si>
    <t>Implementación de mensajería privada bidireccional entre usuarios con soporte para contraofertas económicas, persistencia paginada, filtros anti-abuso y reporte directo de mensajes indebidos a los administradores.</t>
  </si>
  <si>
    <t>C11</t>
  </si>
  <si>
    <t>F10: Asistente Virtual Inteligente (IA &amp; MCP)</t>
  </si>
  <si>
    <t>Fase 7 (Semana 8): Servidor MCP independiente en Node.js.</t>
  </si>
  <si>
    <t>Módulo F10 (PR #63) de 10/09 a 12/09 (3 días).</t>
  </si>
  <si>
    <t>Integración tecnológica avanzada con Spring AI y widget React Copilot.</t>
  </si>
  <si>
    <t>Adopción del estándar industrial Model Context Protocol (MCP) para conectar el modelo de lenguaje con la API de Colivi mediante herramientas tipadas con esquemas Zod y widget flotante Copilot en el cliente web.</t>
  </si>
  <si>
    <t>C12</t>
  </si>
  <si>
    <t>F11: Adaptabilidad Móvil y Despliegue Android</t>
  </si>
  <si>
    <t>No planificado inicialmente (limitado a cliente web Next.js responsive).</t>
  </si>
  <si>
    <t>Módulo F11 (2 PRs: #64 y #65) de 17/09 a 21/09 (5 días).</t>
  </si>
  <si>
    <t>Ampliación multiplataforma completa hacia app nativa para smartphones.</t>
  </si>
  <si>
    <t>Optimización de ergonomía táctil y diseño adaptativo en el frontend, integración con Capacitor y empaquetado nativo generando el archivo APK instalable en dispositivos móviles Android reales.</t>
  </si>
  <si>
    <t>C13</t>
  </si>
  <si>
    <t>F12: Cumplimiento Legal y Privacidad (RGPD)</t>
  </si>
  <si>
    <t>No planificado explícitamente en el desglose de fases iniciales.</t>
  </si>
  <si>
    <t>Módulo F12 (PR #66) completado el 21/09/2026.</t>
  </si>
  <si>
    <t>Incorporación obligatoria para la puesta en producción según el marco legal europeo.</t>
  </si>
  <si>
    <t>Implementación de plataforma de gestión de consentimiento (CMP), banners de cookies configurables, políticas de privacidad, términos de servicio y mecanismos de ejercicio de derechos ARCO conforme al RGPD y la LOPDGDD.</t>
  </si>
  <si>
    <t>SECCIÓN 4: SÍNTESIS METODOLÓGICA PARA LA MEMORIA Y DEFENSA DEL TFG</t>
  </si>
  <si>
    <t>1. Cobertura de Carga de Trabajo Académica: La duración de 16 semanas (113 días) y las 42 Pull Requests auditadas justifican objetivamente las ~300 horas de dedicación formal correspondientes a un TFG de 12 créditos ECTS.</t>
  </si>
  <si>
    <t>2. Adaptabilidad e Ingeniería Ágil: La divergencia respecto a la estimación inicial demuestra que el proyecto no fue una maqueta estática, sino un software vivo que evolucionó conforme a las necesidades funcionales de un marketplace de coliving.</t>
  </si>
  <si>
    <t>3. Rigor de Calidad y Principios SOLID: Cada incremento de alcance respetó escrupulosamente los principios SOLID, pruebas automáticas (TDD en finanzas, tests E2E y unitarios) y cero warnings en compilación.</t>
  </si>
  <si>
    <t>4. Madurez Tecnológica Integral: La plataforma culminó con tres elementos diferenciales de alto valor académico: Asistente conversacional IA vía Model Context Protocol (MCP), App nativa Android (Capacitor) y cumplimiento legal estricto RGPD.</t>
  </si>
  <si>
    <t>COLIVI TFG - DETALLE DE PULL REQUESTS AGRUPADAS POR MÓDULO</t>
  </si>
  <si>
    <t>Desglose técnico de cada PR con su asignación a módulo funcional, rama, fechas de creación/merge y duración.</t>
  </si>
  <si>
    <t>WBS</t>
  </si>
  <si>
    <t>Nº PR</t>
  </si>
  <si>
    <t>Título de la PR</t>
  </si>
  <si>
    <t>Rama Origen</t>
  </si>
  <si>
    <t>Rama Destino</t>
  </si>
  <si>
    <t>Autor</t>
  </si>
  <si>
    <t>Aprobado Por</t>
  </si>
  <si>
    <t>Fecha Creación</t>
  </si>
  <si>
    <t>Fecha Merge</t>
  </si>
  <si>
    <t>Inicio (Gantt)</t>
  </si>
  <si>
    <t>Fin (Gantt)</t>
  </si>
  <si>
    <t>#1</t>
  </si>
  <si>
    <t>Dev</t>
  </si>
  <si>
    <t>dev</t>
  </si>
  <si>
    <t>main</t>
  </si>
  <si>
    <t>vvu981</t>
  </si>
  <si>
    <t>Merge Directo / Admin</t>
  </si>
  <si>
    <t>2026-06-01 10:16</t>
  </si>
  <si>
    <t>#28</t>
  </si>
  <si>
    <t>Update GitHub CLI commands and fix Docker Compose issues</t>
  </si>
  <si>
    <t>feat/user</t>
  </si>
  <si>
    <t>2026-06-29 15:28</t>
  </si>
  <si>
    <t>2026-06-29 15:30</t>
  </si>
  <si>
    <t>#35</t>
  </si>
  <si>
    <t>refactor(core): decouple domain exceptions from web layer</t>
  </si>
  <si>
    <t>feat/solid-exceptions-refactor</t>
  </si>
  <si>
    <t>2026-07-15 12:38</t>
  </si>
  <si>
    <t>2026-07-15 12:41</t>
  </si>
  <si>
    <t>#37</t>
  </si>
  <si>
    <t>refactor: optimize core domains for SOLID, concurrency, and transactional consistency</t>
  </si>
  <si>
    <t>refactor/solid-events-lock</t>
  </si>
  <si>
    <t>2026-07-15 17:34</t>
  </si>
  <si>
    <t>2026-07-15 17:35</t>
  </si>
  <si>
    <t>#41</t>
  </si>
  <si>
    <t>Refactor/core architecture</t>
  </si>
  <si>
    <t>refactor/core-architecture</t>
  </si>
  <si>
    <t>2026-08-09 11:35</t>
  </si>
  <si>
    <t>2026-08-09 18:45</t>
  </si>
  <si>
    <t>#52</t>
  </si>
  <si>
    <t>Add 404 page and protect profile route</t>
  </si>
  <si>
    <t>feat/pageNotFound</t>
  </si>
  <si>
    <t>2026-08-30 15:01</t>
  </si>
  <si>
    <t>#2</t>
  </si>
  <si>
    <t>Refactor web layer and enforce DTO validation for user UUID</t>
  </si>
  <si>
    <t>2026-06-28 12:33</t>
  </si>
  <si>
    <t>2026-06-28 12:34</t>
  </si>
  <si>
    <t>#3</t>
  </si>
  <si>
    <t>Add email service and tests for user feature</t>
  </si>
  <si>
    <t>2026-06-29 12:08</t>
  </si>
  <si>
    <t>2026-06-29 12:11</t>
  </si>
  <si>
    <t>#30</t>
  </si>
  <si>
    <t>Fix/auth jwt banned 403</t>
  </si>
  <si>
    <t>fix/auth-jwt-banned-403</t>
  </si>
  <si>
    <t>2026-07-06 17:47</t>
  </si>
  <si>
    <t>2026-07-06 17:48</t>
  </si>
  <si>
    <t>#31</t>
  </si>
  <si>
    <t>feat(security): transversal user status enforcement layer</t>
  </si>
  <si>
    <t>fix/user-permissions</t>
  </si>
  <si>
    <t>2026-07-10 11:36</t>
  </si>
  <si>
    <t>2026-07-10 11:48</t>
  </si>
  <si>
    <t>#43</t>
  </si>
  <si>
    <t>Implement admin accommodation search and password recovery features</t>
  </si>
  <si>
    <t>feat/password-recovery-and-profiles</t>
  </si>
  <si>
    <t>2026-08-10 11:27</t>
  </si>
  <si>
    <t>2026-08-10 11:53</t>
  </si>
  <si>
    <t>#46</t>
  </si>
  <si>
    <t>feat(auth): implement Google Sign-in flow</t>
  </si>
  <si>
    <t>feat/frontend-layout</t>
  </si>
  <si>
    <t>2026-08-14 08:41</t>
  </si>
  <si>
    <t>2026-08-14 09:15</t>
  </si>
  <si>
    <t>#47</t>
  </si>
  <si>
    <t>Implement profile editing feature</t>
  </si>
  <si>
    <t>feat/frontend-miPerfil</t>
  </si>
  <si>
    <t>2026-08-14 10:33</t>
  </si>
  <si>
    <t>2026-08-14 10:51</t>
  </si>
  <si>
    <t>#48</t>
  </si>
  <si>
    <t>Implement password reset flow and update configuration</t>
  </si>
  <si>
    <t>feat/frontend-forgetPassword</t>
  </si>
  <si>
    <t>2026-08-14 11:37</t>
  </si>
  <si>
    <t>2026-08-14 16:58</t>
  </si>
  <si>
    <t>#54</t>
  </si>
  <si>
    <t>Implement public user profile page with security and navigation features</t>
  </si>
  <si>
    <t>feat/profileUsers</t>
  </si>
  <si>
    <t>2026-08-30 16:45</t>
  </si>
  <si>
    <t>2026-08-30 16:55</t>
  </si>
  <si>
    <t>#60</t>
  </si>
  <si>
    <t>feat(user): implement soft delete and account reactivation in frontend</t>
  </si>
  <si>
    <t>feat/delete-account</t>
  </si>
  <si>
    <t>2026-09-04 11:10</t>
  </si>
  <si>
    <t>2026-09-04 11:19</t>
  </si>
  <si>
    <t>#29</t>
  </si>
  <si>
    <t>Enhance accommodations service with features, tests, and coverage</t>
  </si>
  <si>
    <t>feat/accommodations</t>
  </si>
  <si>
    <t>2026-07-05 17:43</t>
  </si>
  <si>
    <t>2026-07-05 17:44</t>
  </si>
  <si>
    <t>#33</t>
  </si>
  <si>
    <t>Refactor accommodation module for stateless security with UserPrincipal and UUIDs</t>
  </si>
  <si>
    <t>refactor/use-uuid-in-controllers</t>
  </si>
  <si>
    <t>2026-07-13 21:48</t>
  </si>
  <si>
    <t>2026-07-13 21:50</t>
  </si>
  <si>
    <t>#45</t>
  </si>
  <si>
    <t>Implement recent search history and recommendation system</t>
  </si>
  <si>
    <t>feature/recommendation-system</t>
  </si>
  <si>
    <t>2026-08-13 16:55</t>
  </si>
  <si>
    <t>2026-08-13 18:29</t>
  </si>
  <si>
    <t>#49</t>
  </si>
  <si>
    <t>Manage Accommodation &amp; AccommodationListing (Frontend)</t>
  </si>
  <si>
    <t>feat/accommodation-&amp;-listing</t>
  </si>
  <si>
    <t>2026-08-23 15:16</t>
  </si>
  <si>
    <t>2026-08-24 13:17</t>
  </si>
  <si>
    <t>#50</t>
  </si>
  <si>
    <t>Enhance housing features with filters, map optimizations, and details</t>
  </si>
  <si>
    <t>feat/frontend-accommodationListing</t>
  </si>
  <si>
    <t>2026-08-26 19:37</t>
  </si>
  <si>
    <t>2026-08-27 22:50</t>
  </si>
  <si>
    <t>#55</t>
  </si>
  <si>
    <t>feat(housing): expand amenity catalog with popular coliving amenities</t>
  </si>
  <si>
    <t>feat/addAmenities</t>
  </si>
  <si>
    <t>2026-08-30 17:11</t>
  </si>
  <si>
    <t>2026-08-30 17:13</t>
  </si>
  <si>
    <t>#32</t>
  </si>
  <si>
    <t>Feat/booking requests v2</t>
  </si>
  <si>
    <t>feat/bookingRequests-v2</t>
  </si>
  <si>
    <t>2026-07-13 14:19</t>
  </si>
  <si>
    <t>2026-07-13 14:27</t>
  </si>
  <si>
    <t>#34</t>
  </si>
  <si>
    <t>Add E2E integration test for BookingRequests</t>
  </si>
  <si>
    <t>feat/booking-requests-e2e-tests</t>
  </si>
  <si>
    <t>2026-07-13 22:15</t>
  </si>
  <si>
    <t>2026-07-13 22:16</t>
  </si>
  <si>
    <t>#36</t>
  </si>
  <si>
    <t>feat(booking): implement strict month validation and concurrency fixes</t>
  </si>
  <si>
    <t>feature/booking-month-validation</t>
  </si>
  <si>
    <t>2026-07-15 13:31</t>
  </si>
  <si>
    <t>2026-07-15 13:33</t>
  </si>
  <si>
    <t>#44</t>
  </si>
  <si>
    <t>Add security deposit feature and improve test coverage</t>
  </si>
  <si>
    <t>feat/backend-fianza-payments</t>
  </si>
  <si>
    <t>2026-08-11 22:21</t>
  </si>
  <si>
    <t>2026-08-13 10:22</t>
  </si>
  <si>
    <t>#51</t>
  </si>
  <si>
    <t>feat(booking-requests): implement booking request management, detail modal, deep-linking, and email notifications</t>
  </si>
  <si>
    <t>feat/bookingRequests</t>
  </si>
  <si>
    <t>2026-08-29 16:45</t>
  </si>
  <si>
    <t>2026-08-30 14:54</t>
  </si>
  <si>
    <t>#38</t>
  </si>
  <si>
    <t>feat(home): Implementación completa del módulo de Hogares</t>
  </si>
  <si>
    <t>feat/home</t>
  </si>
  <si>
    <t>2026-07-31 10:36</t>
  </si>
  <si>
    <t>2026-08-07 09:15</t>
  </si>
  <si>
    <t>#40</t>
  </si>
  <si>
    <t>feat(home): implement Activity Log module and formatting strategy</t>
  </si>
  <si>
    <t>feat/activity-log-module</t>
  </si>
  <si>
    <t>2026-08-09 10:18</t>
  </si>
  <si>
    <t>2026-08-09 11:15</t>
  </si>
  <si>
    <t>#58</t>
  </si>
  <si>
    <t>Implement household management module and integrate with layout</t>
  </si>
  <si>
    <t>2026-09-02 13:43</t>
  </si>
  <si>
    <t>2026-09-03 10:29</t>
  </si>
  <si>
    <t>#39</t>
  </si>
  <si>
    <t>Feat/expenses module</t>
  </si>
  <si>
    <t>feat/expenses-module</t>
  </si>
  <si>
    <t>2026-08-07 14:08</t>
  </si>
  <si>
    <t>2026-08-08 11:11</t>
  </si>
  <si>
    <t>#59</t>
  </si>
  <si>
    <t>Enhance expense management with editing, debt payments, and audits</t>
  </si>
  <si>
    <t>feat/expenses</t>
  </si>
  <si>
    <t>2026-09-03 14:14</t>
  </si>
  <si>
    <t>2026-09-03 22:44</t>
  </si>
  <si>
    <t>#42</t>
  </si>
  <si>
    <t>Implement reports and moderation module</t>
  </si>
  <si>
    <t>feat/reports-module</t>
  </si>
  <si>
    <t>2026-08-09 19:29</t>
  </si>
  <si>
    <t>2026-08-09 22:15</t>
  </si>
  <si>
    <t>#53</t>
  </si>
  <si>
    <t>Add complete listing reporting functionality with validations and UI</t>
  </si>
  <si>
    <t>feat/denuncia</t>
  </si>
  <si>
    <t>2026-08-30 15:23</t>
  </si>
  <si>
    <t>2026-08-30 15:30</t>
  </si>
  <si>
    <t>#56</t>
  </si>
  <si>
    <t>Implement verified reviews and complete report feedback system</t>
  </si>
  <si>
    <t>feat/reports</t>
  </si>
  <si>
    <t>2026-09-01 10:56</t>
  </si>
  <si>
    <t>#57</t>
  </si>
  <si>
    <t>Implement active moderation ranking and cascade resolution features</t>
  </si>
  <si>
    <t>feat/admin</t>
  </si>
  <si>
    <t>2026-09-02 10:53</t>
  </si>
  <si>
    <t>2026-09-02 11:32</t>
  </si>
  <si>
    <t>Implement chores management, leaderboard, and recurring tasks</t>
  </si>
  <si>
    <t>feat/tasks</t>
  </si>
  <si>
    <t>2026-09-06 11:14</t>
  </si>
  <si>
    <t>2026-09-06 14:18</t>
  </si>
  <si>
    <t>Implement in-app messaging and reporting with tests</t>
  </si>
  <si>
    <t>feat/messages</t>
  </si>
  <si>
    <t>2026-09-07 18:28</t>
  </si>
  <si>
    <t>2026-09-08 22:12</t>
  </si>
  <si>
    <t>Integrate MCP server, Spring AI orchestrator, and React Copilot widget</t>
  </si>
  <si>
    <t>feat/mcp</t>
  </si>
  <si>
    <t>2026-09-10 11:03</t>
  </si>
  <si>
    <t>2026-09-12 22:00</t>
  </si>
  <si>
    <t>#64</t>
  </si>
  <si>
    <t>Improve responsive layout and mobile navigation ergonomics</t>
  </si>
  <si>
    <t>feat/responsive</t>
  </si>
  <si>
    <t>2026-09-17 09:19</t>
  </si>
  <si>
    <t>2026-09-17 09:23</t>
  </si>
  <si>
    <t>#65</t>
  </si>
  <si>
    <t>Feat: Android APK</t>
  </si>
  <si>
    <t>feat/capacitor-android</t>
  </si>
  <si>
    <t>2026-09-21 09:01</t>
  </si>
  <si>
    <t>2026-09-21 09:46</t>
  </si>
  <si>
    <t>feat(compliance): add GDPR/LOPDGDD compliance layer with CMP, legal p…</t>
  </si>
  <si>
    <t>feat/terms</t>
  </si>
  <si>
    <t>2026-09-21 13:45</t>
  </si>
  <si>
    <t>2026-09-21 13:47</t>
  </si>
  <si>
    <t>COLIVI TFG - DIAGRAMA DE GANTT (CRONOGRAMA WBS EJECUTADO)</t>
  </si>
  <si>
    <t>Consolidacion temporal objetiva del proyecto basada en 42 Pull Requests aprobadas y 12 modulos funcionales.</t>
  </si>
  <si>
    <t>VENTANA TEMPORAL
01/06/2026 - 21/09/2026 (113 Dias)</t>
  </si>
  <si>
    <t>ALCANCE WBS
12 Modulos Funcionales (100% Completados)</t>
  </si>
  <si>
    <t>AUDITORIA GIT
42 Pull Requests Aprobadas</t>
  </si>
  <si>
    <t>Modulo Funcional</t>
  </si>
  <si>
    <t>Duracion (Dias)</t>
  </si>
  <si>
    <t>No PRs</t>
  </si>
  <si>
    <t>12 Modulos Funcionales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</si>
</sst>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y\y\y\y\-mm\-dd"/>
  </numFmts>
  <fonts count="15" x14ac:knownFonts="1">
    <font>
      <sz val="11"/>
      <color theme="1"/>
      <name val="Calibri"/>
      <family val="2"/>
      <scheme val="minor"/>
    </font>
    <font>
      <b/>
      <sz val="15"/>
      <color rgb="FF0F172A"/>
      <name val="Calibri"/>
    </font>
    <font>
      <i/>
      <sz val="10"/>
      <color rgb="FF64748B"/>
      <name val="Calibri"/>
    </font>
    <font>
      <b/>
      <sz val="12"/>
      <color rgb="FF1E293B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0"/>
      <color rgb="FF1E293B"/>
      <name val="Calibri"/>
    </font>
    <font>
      <sz val="10"/>
      <color rgb="FF1E293B"/>
      <name val="Calibri"/>
    </font>
    <font>
      <b/>
      <sz val="10"/>
      <color rgb="FF047857"/>
      <name val="Calibri"/>
    </font>
    <font>
      <b/>
      <sz val="8"/>
      <color rgb="FFFFFFFF"/>
      <name val="Calibri"/>
    </font>
    <font>
      <b/>
      <sz val="16"/>
      <color rgb="FF1F4E79"/>
      <name val="Segoe UI"/>
      <family val="2"/>
    </font>
    <font>
      <i/>
      <sz val="10"/>
      <color rgb="FF595959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rgb="FFFFFFFF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1E293B"/>
        <bgColor rgb="FF1E293B"/>
      </patternFill>
    </fill>
    <fill>
      <patternFill patternType="solid">
        <fgColor rgb="FF475569"/>
        <bgColor rgb="FF475569"/>
      </patternFill>
    </fill>
    <fill>
      <patternFill patternType="solid">
        <fgColor rgb="FFD1FAE5"/>
        <bgColor rgb="FFD1FAE5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312E81"/>
        <bgColor rgb="FF312E81"/>
      </patternFill>
    </fill>
    <fill>
      <patternFill patternType="solid">
        <fgColor rgb="FF4F46E5"/>
        <bgColor rgb="FF4F46E5"/>
      </patternFill>
    </fill>
    <fill>
      <patternFill patternType="solid">
        <fgColor rgb="FFF0F4F8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0F0F0"/>
        <bgColor indexed="64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475569"/>
      </top>
      <bottom style="thin">
        <color rgb="FFCBD5E1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E9E9E9"/>
      </left>
      <right style="thin">
        <color rgb="FFE9E9E9"/>
      </right>
      <top style="thin">
        <color rgb="FFE9E9E9"/>
      </top>
      <bottom style="thin">
        <color rgb="FFE9E9E9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0" fillId="0" borderId="1" xfId="0" applyBorder="1"/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/>
    <xf numFmtId="0" fontId="0" fillId="3" borderId="1" xfId="0" applyFill="1" applyBorder="1"/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 wrapText="1"/>
    </xf>
    <xf numFmtId="0" fontId="0" fillId="6" borderId="1" xfId="0" applyFill="1" applyBorder="1"/>
    <xf numFmtId="0" fontId="7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7" fillId="6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7" fillId="6" borderId="1" xfId="0" applyFont="1" applyFill="1" applyBorder="1"/>
    <xf numFmtId="0" fontId="6" fillId="0" borderId="1" xfId="0" applyFont="1" applyBorder="1" applyAlignment="1">
      <alignment horizontal="left" vertical="center" wrapText="1"/>
    </xf>
    <xf numFmtId="0" fontId="4" fillId="2" borderId="1" xfId="0" applyFont="1" applyFill="1" applyBorder="1"/>
    <xf numFmtId="0" fontId="4" fillId="2" borderId="1" xfId="0" applyFont="1" applyFill="1" applyBorder="1" applyAlignment="1">
      <alignment horizontal="left" vertical="center"/>
    </xf>
    <xf numFmtId="164" fontId="7" fillId="0" borderId="1" xfId="0" applyNumberFormat="1" applyFont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center" vertical="center"/>
    </xf>
    <xf numFmtId="164" fontId="7" fillId="6" borderId="2" xfId="0" applyNumberFormat="1" applyFont="1" applyFill="1" applyBorder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3" fillId="9" borderId="3" xfId="0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/>
    </xf>
    <xf numFmtId="0" fontId="12" fillId="0" borderId="4" xfId="0" applyFont="1" applyFill="1" applyBorder="1" applyAlignment="1">
      <alignment horizontal="center"/>
    </xf>
    <xf numFmtId="0" fontId="12" fillId="0" borderId="4" xfId="0" applyFont="1" applyFill="1" applyBorder="1"/>
    <xf numFmtId="164" fontId="12" fillId="0" borderId="4" xfId="0" applyNumberFormat="1" applyFont="1" applyFill="1" applyBorder="1" applyAlignment="1">
      <alignment horizontal="center"/>
    </xf>
    <xf numFmtId="0" fontId="12" fillId="11" borderId="4" xfId="0" applyFont="1" applyFill="1" applyBorder="1" applyAlignment="1">
      <alignment horizontal="center"/>
    </xf>
    <xf numFmtId="0" fontId="12" fillId="11" borderId="4" xfId="0" applyFont="1" applyFill="1" applyBorder="1"/>
    <xf numFmtId="164" fontId="12" fillId="11" borderId="4" xfId="0" applyNumberFormat="1" applyFont="1" applyFill="1" applyBorder="1" applyAlignment="1">
      <alignment horizontal="center"/>
    </xf>
    <xf numFmtId="0" fontId="13" fillId="12" borderId="3" xfId="0" applyFont="1" applyFill="1" applyBorder="1"/>
    <xf numFmtId="164" fontId="13" fillId="12" borderId="3" xfId="0" applyNumberFormat="1" applyFont="1" applyFill="1" applyBorder="1"/>
    <xf numFmtId="9" fontId="13" fillId="12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300" b="1">
                <a:solidFill>
                  <a:srgbClr val="212121"/>
                </a:solidFill>
                <a:latin typeface="Segoe UI"/>
                <a:ea typeface="Segoe UI"/>
                <a:cs typeface="Segoe UI"/>
              </a:defRPr>
            </a:pPr>
            <a:r>
              <a:rPr lang="es-ES"/>
              <a:t>Cronograma Real Ejecutado por Modulos Funcionales (WBS TFG)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Fecha Inicio</c:v>
          </c:tx>
          <c:spPr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rgbClr val="4F81BD"/>
                  </a:solidFill>
                </a14:hiddenFill>
              </a:ex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strRef>
              <c:f>Diagrama_Gantt_WBS!$B$7:$B$18</c:f>
              <c:strCache>
                <c:ptCount val="12"/>
                <c:pt idx="0">
                  <c:v>F01: Arquitectura Base, Infraestructura y DevOps</c:v>
                </c:pt>
                <c:pt idx="1">
                  <c:v>F02: Gestión de Usuarios, Autenticación y Perfiles</c:v>
                </c:pt>
                <c:pt idx="2">
                  <c:v>F03: Gestión de Alojamientos y Catálogo</c:v>
                </c:pt>
                <c:pt idx="3">
                  <c:v>F04: Solicitudes de Reserva y Pagos de Fianza</c:v>
                </c:pt>
                <c:pt idx="4">
                  <c:v>F05: Gestión de Hogares y Convivencia</c:v>
                </c:pt>
                <c:pt idx="5">
                  <c:v>F06: Gestión de Gastos Compartidos (Expenses)</c:v>
                </c:pt>
                <c:pt idx="6">
                  <c:v>F07: Sistema de Denuncias, Reseñas y Moderación</c:v>
                </c:pt>
                <c:pt idx="7">
                  <c:v>F08: Tareas Domésticas y Gamificación (Chores)</c:v>
                </c:pt>
                <c:pt idx="8">
                  <c:v>F09: Sistema de Mensajería Interna</c:v>
                </c:pt>
                <c:pt idx="9">
                  <c:v>F10: Asistente Virtual Inteligente (IA &amp; MCP)</c:v>
                </c:pt>
                <c:pt idx="10">
                  <c:v>F11: Adaptabilidad Móvil y Despliegue Android</c:v>
                </c:pt>
                <c:pt idx="11">
                  <c:v>F12: Cumplimiento Legal y Privacidad (RGPD)</c:v>
                </c:pt>
              </c:strCache>
            </c:strRef>
          </c:cat>
          <c:val>
            <c:numRef>
              <c:f>Diagrama_Gantt_WBS!$C$7:$C$18</c:f>
              <c:numCache>
                <c:formatCode>\y\y\y\y\-mm\-dd</c:formatCode>
                <c:ptCount val="12"/>
                <c:pt idx="0">
                  <c:v>46174</c:v>
                </c:pt>
                <c:pt idx="1">
                  <c:v>46201</c:v>
                </c:pt>
                <c:pt idx="2">
                  <c:v>46208</c:v>
                </c:pt>
                <c:pt idx="3">
                  <c:v>46216</c:v>
                </c:pt>
                <c:pt idx="4">
                  <c:v>46234</c:v>
                </c:pt>
                <c:pt idx="5">
                  <c:v>46241</c:v>
                </c:pt>
                <c:pt idx="6">
                  <c:v>46243</c:v>
                </c:pt>
                <c:pt idx="7">
                  <c:v>46271</c:v>
                </c:pt>
                <c:pt idx="8">
                  <c:v>46272</c:v>
                </c:pt>
                <c:pt idx="9">
                  <c:v>46275</c:v>
                </c:pt>
                <c:pt idx="10">
                  <c:v>46282</c:v>
                </c:pt>
                <c:pt idx="11">
                  <c:v>46286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4E-4001-8B07-7A68AB91D7F4}"/>
            </c:ext>
          </c:extLst>
        </c:ser>
        <c:ser>
          <c:idx val="1"/>
          <c:order val="1"/>
          <c:tx>
            <c:v>Duracion (Dias)</c:v>
          </c:tx>
          <c:spPr>
            <a:solidFill>
              <a:srgbClr val="1F4E79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val>
            <c:numRef>
              <c:f>Diagrama_Gantt_WBS!$E$7:$E$18</c:f>
              <c:numCache>
                <c:formatCode>General</c:formatCode>
                <c:ptCount val="12"/>
                <c:pt idx="0">
                  <c:v>91</c:v>
                </c:pt>
                <c:pt idx="1">
                  <c:v>69</c:v>
                </c:pt>
                <c:pt idx="2">
                  <c:v>57</c:v>
                </c:pt>
                <c:pt idx="3">
                  <c:v>49</c:v>
                </c:pt>
                <c:pt idx="4">
                  <c:v>35</c:v>
                </c:pt>
                <c:pt idx="5">
                  <c:v>28</c:v>
                </c:pt>
                <c:pt idx="6">
                  <c:v>25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4E-4001-8B07-7A68AB91D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5155008"/>
        <c:axId val="903483856"/>
      </c:barChart>
      <c:catAx>
        <c:axId val="25155008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50">
                <a:solidFill>
                  <a:srgbClr val="212121"/>
                </a:solidFill>
                <a:latin typeface="Segoe UI"/>
                <a:ea typeface="Segoe UI"/>
                <a:cs typeface="Segoe UI"/>
              </a:defRPr>
            </a:pPr>
            <a:endParaRPr lang="es-ES"/>
          </a:p>
        </c:txPr>
        <c:crossAx val="903483856"/>
        <c:crosses val="autoZero"/>
        <c:auto val="1"/>
        <c:lblAlgn val="ctr"/>
        <c:lblOffset val="100"/>
        <c:noMultiLvlLbl val="0"/>
      </c:catAx>
      <c:valAx>
        <c:axId val="903483856"/>
        <c:scaling>
          <c:orientation val="minMax"/>
          <c:max val="46293"/>
          <c:min val="46174"/>
        </c:scaling>
        <c:delete val="0"/>
        <c:axPos val="t"/>
        <c:majorGridlines>
          <c:spPr>
            <a:ln>
              <a:solidFill>
                <a:srgbClr val="DDDDDD"/>
              </a:solidFill>
            </a:ln>
          </c:spPr>
        </c:majorGridlines>
        <c:numFmt formatCode="dd/mm/yyyy" sourceLinked="0"/>
        <c:majorTickMark val="out"/>
        <c:minorTickMark val="none"/>
        <c:tickLblPos val="nextTo"/>
        <c:txPr>
          <a:bodyPr/>
          <a:lstStyle/>
          <a:p>
            <a:pPr>
              <a:defRPr sz="900">
                <a:solidFill>
                  <a:srgbClr val="212121"/>
                </a:solidFill>
                <a:latin typeface="Segoe UI"/>
                <a:ea typeface="Segoe UI"/>
                <a:cs typeface="Segoe UI"/>
              </a:defRPr>
            </a:pPr>
            <a:endParaRPr lang="es-ES"/>
          </a:p>
        </c:txPr>
        <c:crossAx val="25155008"/>
        <c:crosses val="autoZero"/>
        <c:crossBetween val="between"/>
        <c:majorUnit val="14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noFill/>
      <a:prstDash val="solid"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25</xdr:col>
      <xdr:colOff>0</xdr:colOff>
      <xdr:row>36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9463F9C-F95E-33BC-8B4F-30B237EAD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5D83-B985-4AC1-88E2-0B942152FB26}">
  <dimension ref="A1:H19"/>
  <sheetViews>
    <sheetView tabSelected="1" workbookViewId="0"/>
  </sheetViews>
  <sheetFormatPr baseColWidth="10" defaultRowHeight="15" x14ac:dyDescent="0.25"/>
  <cols>
    <col min="1" max="1" width="8.7109375" customWidth="1"/>
    <col min="2" max="2" width="42.7109375" customWidth="1"/>
    <col min="3" max="4" width="14.7109375" customWidth="1"/>
    <col min="5" max="5" width="15.7109375" customWidth="1"/>
    <col min="6" max="6" width="10.7109375" customWidth="1"/>
    <col min="7" max="7" width="14.7109375" customWidth="1"/>
    <col min="8" max="8" width="3.7109375" customWidth="1"/>
  </cols>
  <sheetData>
    <row r="1" spans="1:8" ht="25.5" x14ac:dyDescent="0.5">
      <c r="A1" s="53" t="s">
        <v>489</v>
      </c>
    </row>
    <row r="2" spans="1:8" x14ac:dyDescent="0.25">
      <c r="A2" s="54" t="s">
        <v>490</v>
      </c>
    </row>
    <row r="4" spans="1:8" ht="36" customHeight="1" x14ac:dyDescent="0.25">
      <c r="A4" s="55" t="s">
        <v>491</v>
      </c>
      <c r="B4" s="56"/>
      <c r="C4" s="56"/>
      <c r="D4" s="55" t="s">
        <v>492</v>
      </c>
      <c r="E4" s="56"/>
      <c r="F4" s="56"/>
      <c r="G4" s="55" t="s">
        <v>493</v>
      </c>
      <c r="H4" s="56"/>
    </row>
    <row r="6" spans="1:8" ht="24" customHeight="1" x14ac:dyDescent="0.25">
      <c r="A6" s="57" t="s">
        <v>275</v>
      </c>
      <c r="B6" s="57" t="s">
        <v>494</v>
      </c>
      <c r="C6" s="57" t="s">
        <v>10</v>
      </c>
      <c r="D6" s="57" t="s">
        <v>11</v>
      </c>
      <c r="E6" s="57" t="s">
        <v>495</v>
      </c>
      <c r="F6" s="57" t="s">
        <v>496</v>
      </c>
      <c r="G6" s="57" t="s">
        <v>15</v>
      </c>
    </row>
    <row r="7" spans="1:8" ht="20.100000000000001" customHeight="1" x14ac:dyDescent="0.25">
      <c r="A7" s="58" t="str">
        <f>Gantt_y_Comparativa!A7</f>
        <v>F01</v>
      </c>
      <c r="B7" s="59" t="str">
        <f>Gantt_y_Comparativa!A7 &amp; ": " &amp; Gantt_y_Comparativa!B7</f>
        <v>F01: Arquitectura Base, Infraestructura y DevOps</v>
      </c>
      <c r="C7" s="60">
        <f>Gantt_y_Comparativa!D7</f>
        <v>46174</v>
      </c>
      <c r="D7" s="60">
        <f>Gantt_y_Comparativa!E7</f>
        <v>46264</v>
      </c>
      <c r="E7" s="58">
        <f>Gantt_y_Comparativa!F7</f>
        <v>91</v>
      </c>
      <c r="F7" s="58">
        <f>Gantt_y_Comparativa!G7</f>
        <v>6</v>
      </c>
      <c r="G7" s="58" t="str">
        <f>Gantt_y_Comparativa!I7</f>
        <v>Completado</v>
      </c>
    </row>
    <row r="8" spans="1:8" ht="20.100000000000001" customHeight="1" x14ac:dyDescent="0.25">
      <c r="A8" s="61" t="str">
        <f>Gantt_y_Comparativa!A8</f>
        <v>F02</v>
      </c>
      <c r="B8" s="62" t="str">
        <f>Gantt_y_Comparativa!A8 &amp; ": " &amp; Gantt_y_Comparativa!B8</f>
        <v>F02: Gestión de Usuarios, Autenticación y Perfiles</v>
      </c>
      <c r="C8" s="63">
        <f>Gantt_y_Comparativa!D8</f>
        <v>46201</v>
      </c>
      <c r="D8" s="63">
        <f>Gantt_y_Comparativa!E8</f>
        <v>46269</v>
      </c>
      <c r="E8" s="61">
        <f>Gantt_y_Comparativa!F8</f>
        <v>69</v>
      </c>
      <c r="F8" s="61">
        <f>Gantt_y_Comparativa!G8</f>
        <v>10</v>
      </c>
      <c r="G8" s="61" t="str">
        <f>Gantt_y_Comparativa!I8</f>
        <v>Completado</v>
      </c>
    </row>
    <row r="9" spans="1:8" ht="20.100000000000001" customHeight="1" x14ac:dyDescent="0.25">
      <c r="A9" s="58" t="str">
        <f>Gantt_y_Comparativa!A9</f>
        <v>F03</v>
      </c>
      <c r="B9" s="59" t="str">
        <f>Gantt_y_Comparativa!A9 &amp; ": " &amp; Gantt_y_Comparativa!B9</f>
        <v>F03: Gestión de Alojamientos y Catálogo</v>
      </c>
      <c r="C9" s="60">
        <f>Gantt_y_Comparativa!D9</f>
        <v>46208</v>
      </c>
      <c r="D9" s="60">
        <f>Gantt_y_Comparativa!E9</f>
        <v>46264</v>
      </c>
      <c r="E9" s="58">
        <f>Gantt_y_Comparativa!F9</f>
        <v>57</v>
      </c>
      <c r="F9" s="58">
        <f>Gantt_y_Comparativa!G9</f>
        <v>6</v>
      </c>
      <c r="G9" s="58" t="str">
        <f>Gantt_y_Comparativa!I9</f>
        <v>Completado</v>
      </c>
    </row>
    <row r="10" spans="1:8" ht="20.100000000000001" customHeight="1" x14ac:dyDescent="0.25">
      <c r="A10" s="61" t="str">
        <f>Gantt_y_Comparativa!A10</f>
        <v>F04</v>
      </c>
      <c r="B10" s="62" t="str">
        <f>Gantt_y_Comparativa!A10 &amp; ": " &amp; Gantt_y_Comparativa!B10</f>
        <v>F04: Solicitudes de Reserva y Pagos de Fianza</v>
      </c>
      <c r="C10" s="63">
        <f>Gantt_y_Comparativa!D10</f>
        <v>46216</v>
      </c>
      <c r="D10" s="63">
        <f>Gantt_y_Comparativa!E10</f>
        <v>46264</v>
      </c>
      <c r="E10" s="61">
        <f>Gantt_y_Comparativa!F10</f>
        <v>49</v>
      </c>
      <c r="F10" s="61">
        <f>Gantt_y_Comparativa!G10</f>
        <v>5</v>
      </c>
      <c r="G10" s="61" t="str">
        <f>Gantt_y_Comparativa!I10</f>
        <v>Completado</v>
      </c>
    </row>
    <row r="11" spans="1:8" ht="20.100000000000001" customHeight="1" x14ac:dyDescent="0.25">
      <c r="A11" s="58" t="str">
        <f>Gantt_y_Comparativa!A11</f>
        <v>F05</v>
      </c>
      <c r="B11" s="59" t="str">
        <f>Gantt_y_Comparativa!A11 &amp; ": " &amp; Gantt_y_Comparativa!B11</f>
        <v>F05: Gestión de Hogares y Convivencia</v>
      </c>
      <c r="C11" s="60">
        <f>Gantt_y_Comparativa!D11</f>
        <v>46234</v>
      </c>
      <c r="D11" s="60">
        <f>Gantt_y_Comparativa!E11</f>
        <v>46268</v>
      </c>
      <c r="E11" s="58">
        <f>Gantt_y_Comparativa!F11</f>
        <v>35</v>
      </c>
      <c r="F11" s="58">
        <f>Gantt_y_Comparativa!G11</f>
        <v>3</v>
      </c>
      <c r="G11" s="58" t="str">
        <f>Gantt_y_Comparativa!I11</f>
        <v>Completado</v>
      </c>
    </row>
    <row r="12" spans="1:8" ht="20.100000000000001" customHeight="1" x14ac:dyDescent="0.25">
      <c r="A12" s="61" t="str">
        <f>Gantt_y_Comparativa!A12</f>
        <v>F06</v>
      </c>
      <c r="B12" s="62" t="str">
        <f>Gantt_y_Comparativa!A12 &amp; ": " &amp; Gantt_y_Comparativa!B12</f>
        <v>F06: Gestión de Gastos Compartidos (Expenses)</v>
      </c>
      <c r="C12" s="63">
        <f>Gantt_y_Comparativa!D12</f>
        <v>46241</v>
      </c>
      <c r="D12" s="63">
        <f>Gantt_y_Comparativa!E12</f>
        <v>46268</v>
      </c>
      <c r="E12" s="61">
        <f>Gantt_y_Comparativa!F12</f>
        <v>28</v>
      </c>
      <c r="F12" s="61">
        <f>Gantt_y_Comparativa!G12</f>
        <v>2</v>
      </c>
      <c r="G12" s="61" t="str">
        <f>Gantt_y_Comparativa!I12</f>
        <v>Completado</v>
      </c>
    </row>
    <row r="13" spans="1:8" ht="20.100000000000001" customHeight="1" x14ac:dyDescent="0.25">
      <c r="A13" s="58" t="str">
        <f>Gantt_y_Comparativa!A13</f>
        <v>F07</v>
      </c>
      <c r="B13" s="59" t="str">
        <f>Gantt_y_Comparativa!A13 &amp; ": " &amp; Gantt_y_Comparativa!B13</f>
        <v>F07: Sistema de Denuncias, Reseñas y Moderación</v>
      </c>
      <c r="C13" s="60">
        <f>Gantt_y_Comparativa!D13</f>
        <v>46243</v>
      </c>
      <c r="D13" s="60">
        <f>Gantt_y_Comparativa!E13</f>
        <v>46267</v>
      </c>
      <c r="E13" s="58">
        <f>Gantt_y_Comparativa!F13</f>
        <v>25</v>
      </c>
      <c r="F13" s="58">
        <f>Gantt_y_Comparativa!G13</f>
        <v>4</v>
      </c>
      <c r="G13" s="58" t="str">
        <f>Gantt_y_Comparativa!I13</f>
        <v>Completado</v>
      </c>
    </row>
    <row r="14" spans="1:8" ht="20.100000000000001" customHeight="1" x14ac:dyDescent="0.25">
      <c r="A14" s="61" t="str">
        <f>Gantt_y_Comparativa!A14</f>
        <v>F08</v>
      </c>
      <c r="B14" s="62" t="str">
        <f>Gantt_y_Comparativa!A14 &amp; ": " &amp; Gantt_y_Comparativa!B14</f>
        <v>F08: Tareas Domésticas y Gamificación (Chores)</v>
      </c>
      <c r="C14" s="63">
        <f>Gantt_y_Comparativa!D14</f>
        <v>46271</v>
      </c>
      <c r="D14" s="63">
        <f>Gantt_y_Comparativa!E14</f>
        <v>46271</v>
      </c>
      <c r="E14" s="61">
        <f>Gantt_y_Comparativa!F14</f>
        <v>1</v>
      </c>
      <c r="F14" s="61">
        <f>Gantt_y_Comparativa!G14</f>
        <v>1</v>
      </c>
      <c r="G14" s="61" t="str">
        <f>Gantt_y_Comparativa!I14</f>
        <v>Completado</v>
      </c>
    </row>
    <row r="15" spans="1:8" ht="20.100000000000001" customHeight="1" x14ac:dyDescent="0.25">
      <c r="A15" s="58" t="str">
        <f>Gantt_y_Comparativa!A15</f>
        <v>F09</v>
      </c>
      <c r="B15" s="59" t="str">
        <f>Gantt_y_Comparativa!A15 &amp; ": " &amp; Gantt_y_Comparativa!B15</f>
        <v>F09: Sistema de Mensajería Interna</v>
      </c>
      <c r="C15" s="60">
        <f>Gantt_y_Comparativa!D15</f>
        <v>46272</v>
      </c>
      <c r="D15" s="60">
        <f>Gantt_y_Comparativa!E15</f>
        <v>46273</v>
      </c>
      <c r="E15" s="58">
        <f>Gantt_y_Comparativa!F15</f>
        <v>2</v>
      </c>
      <c r="F15" s="58">
        <f>Gantt_y_Comparativa!G15</f>
        <v>1</v>
      </c>
      <c r="G15" s="58" t="str">
        <f>Gantt_y_Comparativa!I15</f>
        <v>Completado</v>
      </c>
    </row>
    <row r="16" spans="1:8" ht="20.100000000000001" customHeight="1" x14ac:dyDescent="0.25">
      <c r="A16" s="61" t="str">
        <f>Gantt_y_Comparativa!A16</f>
        <v>F10</v>
      </c>
      <c r="B16" s="62" t="str">
        <f>Gantt_y_Comparativa!A16 &amp; ": " &amp; Gantt_y_Comparativa!B16</f>
        <v>F10: Asistente Virtual Inteligente (IA &amp; MCP)</v>
      </c>
      <c r="C16" s="63">
        <f>Gantt_y_Comparativa!D16</f>
        <v>46275</v>
      </c>
      <c r="D16" s="63">
        <f>Gantt_y_Comparativa!E16</f>
        <v>46277</v>
      </c>
      <c r="E16" s="61">
        <f>Gantt_y_Comparativa!F16</f>
        <v>3</v>
      </c>
      <c r="F16" s="61">
        <f>Gantt_y_Comparativa!G16</f>
        <v>1</v>
      </c>
      <c r="G16" s="61" t="str">
        <f>Gantt_y_Comparativa!I16</f>
        <v>Completado</v>
      </c>
    </row>
    <row r="17" spans="1:7" ht="20.100000000000001" customHeight="1" x14ac:dyDescent="0.25">
      <c r="A17" s="58" t="str">
        <f>Gantt_y_Comparativa!A17</f>
        <v>F11</v>
      </c>
      <c r="B17" s="59" t="str">
        <f>Gantt_y_Comparativa!A17 &amp; ": " &amp; Gantt_y_Comparativa!B17</f>
        <v>F11: Adaptabilidad Móvil y Despliegue Android</v>
      </c>
      <c r="C17" s="60">
        <f>Gantt_y_Comparativa!D17</f>
        <v>46282</v>
      </c>
      <c r="D17" s="60">
        <f>Gantt_y_Comparativa!E17</f>
        <v>46286</v>
      </c>
      <c r="E17" s="58">
        <f>Gantt_y_Comparativa!F17</f>
        <v>5</v>
      </c>
      <c r="F17" s="58">
        <f>Gantt_y_Comparativa!G17</f>
        <v>2</v>
      </c>
      <c r="G17" s="58" t="str">
        <f>Gantt_y_Comparativa!I17</f>
        <v>Completado</v>
      </c>
    </row>
    <row r="18" spans="1:7" ht="20.100000000000001" customHeight="1" x14ac:dyDescent="0.25">
      <c r="A18" s="61" t="str">
        <f>Gantt_y_Comparativa!A18</f>
        <v>F12</v>
      </c>
      <c r="B18" s="62" t="str">
        <f>Gantt_y_Comparativa!A18 &amp; ": " &amp; Gantt_y_Comparativa!B18</f>
        <v>F12: Cumplimiento Legal y Privacidad (RGPD)</v>
      </c>
      <c r="C18" s="63">
        <f>Gantt_y_Comparativa!D18</f>
        <v>46286</v>
      </c>
      <c r="D18" s="63">
        <f>Gantt_y_Comparativa!E18</f>
        <v>46286</v>
      </c>
      <c r="E18" s="61">
        <f>Gantt_y_Comparativa!F18</f>
        <v>1</v>
      </c>
      <c r="F18" s="61">
        <f>Gantt_y_Comparativa!G18</f>
        <v>1</v>
      </c>
      <c r="G18" s="61" t="str">
        <f>Gantt_y_Comparativa!I18</f>
        <v>Completado</v>
      </c>
    </row>
    <row r="19" spans="1:7" x14ac:dyDescent="0.25">
      <c r="A19" s="64" t="s">
        <v>175</v>
      </c>
      <c r="B19" s="64" t="s">
        <v>497</v>
      </c>
      <c r="C19" s="65">
        <f>MIN(C7:C18)</f>
        <v>46174</v>
      </c>
      <c r="D19" s="65">
        <f>MAX(D7:D18)</f>
        <v>46286</v>
      </c>
      <c r="E19" s="64">
        <f>D19-C19+1</f>
        <v>113</v>
      </c>
      <c r="F19" s="64">
        <f>SUM(F7:F18)</f>
        <v>42</v>
      </c>
      <c r="G19" s="66">
        <v>1</v>
      </c>
    </row>
  </sheetData>
  <mergeCells count="3">
    <mergeCell ref="A4:C4"/>
    <mergeCell ref="D4:F4"/>
    <mergeCell ref="G4:H4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9"/>
  <sheetViews>
    <sheetView workbookViewId="0"/>
  </sheetViews>
  <sheetFormatPr baseColWidth="10" defaultColWidth="9.140625" defaultRowHeight="15" x14ac:dyDescent="0.25"/>
  <cols>
    <col min="1" max="1" width="14" customWidth="1"/>
    <col min="2" max="2" width="34" customWidth="1"/>
    <col min="3" max="3" width="52" customWidth="1"/>
    <col min="4" max="5" width="14" customWidth="1"/>
    <col min="6" max="6" width="16" customWidth="1"/>
    <col min="7" max="7" width="10" customWidth="1"/>
    <col min="8" max="8" width="30" customWidth="1"/>
    <col min="9" max="9" width="14" customWidth="1"/>
    <col min="10" max="27" width="11" customWidth="1"/>
  </cols>
  <sheetData>
    <row r="1" spans="1:27" ht="19.5" x14ac:dyDescent="0.3">
      <c r="A1" s="1" t="s">
        <v>0</v>
      </c>
    </row>
    <row r="2" spans="1:27" x14ac:dyDescent="0.25">
      <c r="A2" s="2" t="s">
        <v>1</v>
      </c>
    </row>
    <row r="4" spans="1:27" ht="15.75" x14ac:dyDescent="0.25">
      <c r="A4" s="3" t="s">
        <v>2</v>
      </c>
    </row>
    <row r="5" spans="1:27" ht="21.95" customHeight="1" x14ac:dyDescent="0.25">
      <c r="J5" s="43" t="s">
        <v>3</v>
      </c>
      <c r="K5" s="44"/>
      <c r="L5" s="44"/>
      <c r="M5" s="44"/>
      <c r="N5" s="44"/>
      <c r="O5" s="43" t="s">
        <v>4</v>
      </c>
      <c r="P5" s="44"/>
      <c r="Q5" s="44"/>
      <c r="R5" s="44"/>
      <c r="S5" s="43" t="s">
        <v>5</v>
      </c>
      <c r="T5" s="44"/>
      <c r="U5" s="44"/>
      <c r="V5" s="44"/>
      <c r="W5" s="44"/>
      <c r="X5" s="43" t="s">
        <v>6</v>
      </c>
      <c r="Y5" s="44"/>
      <c r="Z5" s="44"/>
      <c r="AA5" s="44"/>
    </row>
    <row r="6" spans="1:27" ht="24.95" customHeight="1" x14ac:dyDescent="0.25">
      <c r="A6" s="4" t="s">
        <v>7</v>
      </c>
      <c r="B6" s="5" t="s">
        <v>8</v>
      </c>
      <c r="C6" s="6" t="s">
        <v>9</v>
      </c>
      <c r="D6" s="4" t="s">
        <v>10</v>
      </c>
      <c r="E6" s="4" t="s">
        <v>11</v>
      </c>
      <c r="F6" s="4" t="s">
        <v>12</v>
      </c>
      <c r="G6" s="4" t="s">
        <v>13</v>
      </c>
      <c r="H6" s="6" t="s">
        <v>14</v>
      </c>
      <c r="I6" s="4" t="s">
        <v>15</v>
      </c>
      <c r="J6" s="7" t="s">
        <v>16</v>
      </c>
      <c r="K6" s="7" t="s">
        <v>17</v>
      </c>
      <c r="L6" s="7" t="s">
        <v>18</v>
      </c>
      <c r="M6" s="7" t="s">
        <v>19</v>
      </c>
      <c r="N6" s="7" t="s">
        <v>20</v>
      </c>
      <c r="O6" s="7" t="s">
        <v>21</v>
      </c>
      <c r="P6" s="7" t="s">
        <v>22</v>
      </c>
      <c r="Q6" s="7" t="s">
        <v>23</v>
      </c>
      <c r="R6" s="7" t="s">
        <v>24</v>
      </c>
      <c r="S6" s="7" t="s">
        <v>25</v>
      </c>
      <c r="T6" s="7" t="s">
        <v>26</v>
      </c>
      <c r="U6" s="7" t="s">
        <v>27</v>
      </c>
      <c r="V6" s="7" t="s">
        <v>28</v>
      </c>
      <c r="W6" s="7" t="s">
        <v>29</v>
      </c>
      <c r="X6" s="7" t="s">
        <v>30</v>
      </c>
      <c r="Y6" s="7" t="s">
        <v>31</v>
      </c>
      <c r="Z6" s="7" t="s">
        <v>32</v>
      </c>
      <c r="AA6" s="7" t="s">
        <v>33</v>
      </c>
    </row>
    <row r="7" spans="1:27" ht="26.1" customHeight="1" x14ac:dyDescent="0.25">
      <c r="A7" s="8" t="s">
        <v>34</v>
      </c>
      <c r="B7" s="9" t="s">
        <v>35</v>
      </c>
      <c r="C7" s="10" t="s">
        <v>36</v>
      </c>
      <c r="D7" s="49">
        <v>46174</v>
      </c>
      <c r="E7" s="49">
        <v>46264</v>
      </c>
      <c r="F7" s="8">
        <f>E7-D7+1</f>
        <v>91</v>
      </c>
      <c r="G7" s="8">
        <v>6</v>
      </c>
      <c r="H7" s="10" t="s">
        <v>38</v>
      </c>
      <c r="I7" s="12" t="s">
        <v>39</v>
      </c>
      <c r="J7" s="13" t="s">
        <v>40</v>
      </c>
      <c r="K7" s="13" t="s">
        <v>40</v>
      </c>
      <c r="L7" s="13" t="s">
        <v>40</v>
      </c>
      <c r="M7" s="13" t="s">
        <v>40</v>
      </c>
      <c r="N7" s="13" t="s">
        <v>40</v>
      </c>
      <c r="O7" s="13" t="s">
        <v>40</v>
      </c>
      <c r="P7" s="13" t="s">
        <v>40</v>
      </c>
      <c r="Q7" s="13" t="s">
        <v>40</v>
      </c>
      <c r="R7" s="13" t="s">
        <v>40</v>
      </c>
      <c r="S7" s="13" t="s">
        <v>40</v>
      </c>
      <c r="T7" s="13" t="s">
        <v>40</v>
      </c>
      <c r="U7" s="13" t="s">
        <v>40</v>
      </c>
      <c r="V7" s="13" t="s">
        <v>40</v>
      </c>
      <c r="W7" s="14"/>
      <c r="X7" s="14"/>
      <c r="Y7" s="14"/>
      <c r="Z7" s="14"/>
      <c r="AA7" s="14"/>
    </row>
    <row r="8" spans="1:27" ht="26.1" customHeight="1" x14ac:dyDescent="0.25">
      <c r="A8" s="15" t="s">
        <v>41</v>
      </c>
      <c r="B8" s="16" t="s">
        <v>42</v>
      </c>
      <c r="C8" s="17" t="s">
        <v>43</v>
      </c>
      <c r="D8" s="50">
        <v>46201</v>
      </c>
      <c r="E8" s="50">
        <v>46269</v>
      </c>
      <c r="F8" s="15">
        <f>E8-D8+1</f>
        <v>69</v>
      </c>
      <c r="G8" s="15">
        <v>10</v>
      </c>
      <c r="H8" s="17" t="s">
        <v>44</v>
      </c>
      <c r="I8" s="12" t="s">
        <v>39</v>
      </c>
      <c r="J8" s="14"/>
      <c r="K8" s="14"/>
      <c r="L8" s="14"/>
      <c r="M8" s="13" t="s">
        <v>40</v>
      </c>
      <c r="N8" s="13" t="s">
        <v>40</v>
      </c>
      <c r="O8" s="13" t="s">
        <v>40</v>
      </c>
      <c r="P8" s="13" t="s">
        <v>40</v>
      </c>
      <c r="Q8" s="13" t="s">
        <v>40</v>
      </c>
      <c r="R8" s="13" t="s">
        <v>40</v>
      </c>
      <c r="S8" s="13" t="s">
        <v>40</v>
      </c>
      <c r="T8" s="13" t="s">
        <v>40</v>
      </c>
      <c r="U8" s="13" t="s">
        <v>40</v>
      </c>
      <c r="V8" s="13" t="s">
        <v>40</v>
      </c>
      <c r="W8" s="13" t="s">
        <v>40</v>
      </c>
      <c r="X8" s="14"/>
      <c r="Y8" s="14"/>
      <c r="Z8" s="14"/>
      <c r="AA8" s="14"/>
    </row>
    <row r="9" spans="1:27" ht="26.1" customHeight="1" x14ac:dyDescent="0.25">
      <c r="A9" s="8" t="s">
        <v>45</v>
      </c>
      <c r="B9" s="9" t="s">
        <v>46</v>
      </c>
      <c r="C9" s="10" t="s">
        <v>47</v>
      </c>
      <c r="D9" s="49">
        <v>46208</v>
      </c>
      <c r="E9" s="49">
        <v>46264</v>
      </c>
      <c r="F9" s="8">
        <f>E9-D9+1</f>
        <v>57</v>
      </c>
      <c r="G9" s="8">
        <v>6</v>
      </c>
      <c r="H9" s="10" t="s">
        <v>48</v>
      </c>
      <c r="I9" s="12" t="s">
        <v>39</v>
      </c>
      <c r="J9" s="14"/>
      <c r="K9" s="14"/>
      <c r="L9" s="14"/>
      <c r="M9" s="14"/>
      <c r="N9" s="13" t="s">
        <v>40</v>
      </c>
      <c r="O9" s="13" t="s">
        <v>40</v>
      </c>
      <c r="P9" s="13" t="s">
        <v>40</v>
      </c>
      <c r="Q9" s="13" t="s">
        <v>40</v>
      </c>
      <c r="R9" s="13" t="s">
        <v>40</v>
      </c>
      <c r="S9" s="13" t="s">
        <v>40</v>
      </c>
      <c r="T9" s="13" t="s">
        <v>40</v>
      </c>
      <c r="U9" s="13" t="s">
        <v>40</v>
      </c>
      <c r="V9" s="13" t="s">
        <v>40</v>
      </c>
      <c r="W9" s="14"/>
      <c r="X9" s="14"/>
      <c r="Y9" s="14"/>
      <c r="Z9" s="14"/>
      <c r="AA9" s="14"/>
    </row>
    <row r="10" spans="1:27" ht="26.1" customHeight="1" x14ac:dyDescent="0.25">
      <c r="A10" s="15" t="s">
        <v>49</v>
      </c>
      <c r="B10" s="16" t="s">
        <v>50</v>
      </c>
      <c r="C10" s="17" t="s">
        <v>51</v>
      </c>
      <c r="D10" s="50">
        <v>46216</v>
      </c>
      <c r="E10" s="50">
        <v>46264</v>
      </c>
      <c r="F10" s="15">
        <f>E10-D10+1</f>
        <v>49</v>
      </c>
      <c r="G10" s="15">
        <v>5</v>
      </c>
      <c r="H10" s="17" t="s">
        <v>52</v>
      </c>
      <c r="I10" s="12" t="s">
        <v>39</v>
      </c>
      <c r="J10" s="14"/>
      <c r="K10" s="14"/>
      <c r="L10" s="14"/>
      <c r="M10" s="14"/>
      <c r="N10" s="14"/>
      <c r="O10" s="14"/>
      <c r="P10" s="13" t="s">
        <v>40</v>
      </c>
      <c r="Q10" s="13" t="s">
        <v>40</v>
      </c>
      <c r="R10" s="13" t="s">
        <v>40</v>
      </c>
      <c r="S10" s="13" t="s">
        <v>40</v>
      </c>
      <c r="T10" s="13" t="s">
        <v>40</v>
      </c>
      <c r="U10" s="13" t="s">
        <v>40</v>
      </c>
      <c r="V10" s="13" t="s">
        <v>40</v>
      </c>
      <c r="W10" s="14"/>
      <c r="X10" s="14"/>
      <c r="Y10" s="14"/>
      <c r="Z10" s="14"/>
      <c r="AA10" s="14"/>
    </row>
    <row r="11" spans="1:27" ht="26.1" customHeight="1" x14ac:dyDescent="0.25">
      <c r="A11" s="8" t="s">
        <v>53</v>
      </c>
      <c r="B11" s="9" t="s">
        <v>54</v>
      </c>
      <c r="C11" s="10" t="s">
        <v>55</v>
      </c>
      <c r="D11" s="49">
        <v>46234</v>
      </c>
      <c r="E11" s="49">
        <v>46268</v>
      </c>
      <c r="F11" s="8">
        <f>E11-D11+1</f>
        <v>35</v>
      </c>
      <c r="G11" s="8">
        <v>3</v>
      </c>
      <c r="H11" s="10" t="s">
        <v>56</v>
      </c>
      <c r="I11" s="12" t="s">
        <v>39</v>
      </c>
      <c r="J11" s="14"/>
      <c r="K11" s="14"/>
      <c r="L11" s="14"/>
      <c r="M11" s="14"/>
      <c r="N11" s="14"/>
      <c r="O11" s="14"/>
      <c r="P11" s="14"/>
      <c r="Q11" s="14"/>
      <c r="R11" s="13" t="s">
        <v>40</v>
      </c>
      <c r="S11" s="13" t="s">
        <v>40</v>
      </c>
      <c r="T11" s="13" t="s">
        <v>40</v>
      </c>
      <c r="U11" s="13" t="s">
        <v>40</v>
      </c>
      <c r="V11" s="13" t="s">
        <v>40</v>
      </c>
      <c r="W11" s="13" t="s">
        <v>40</v>
      </c>
      <c r="X11" s="14"/>
      <c r="Y11" s="14"/>
      <c r="Z11" s="14"/>
      <c r="AA11" s="14"/>
    </row>
    <row r="12" spans="1:27" ht="26.1" customHeight="1" x14ac:dyDescent="0.25">
      <c r="A12" s="15" t="s">
        <v>57</v>
      </c>
      <c r="B12" s="16" t="s">
        <v>58</v>
      </c>
      <c r="C12" s="17" t="s">
        <v>59</v>
      </c>
      <c r="D12" s="50">
        <v>46241</v>
      </c>
      <c r="E12" s="50">
        <v>46268</v>
      </c>
      <c r="F12" s="15">
        <f>E12-D12+1</f>
        <v>28</v>
      </c>
      <c r="G12" s="15">
        <v>2</v>
      </c>
      <c r="H12" s="17" t="s">
        <v>60</v>
      </c>
      <c r="I12" s="12" t="s">
        <v>39</v>
      </c>
      <c r="J12" s="14"/>
      <c r="K12" s="14"/>
      <c r="L12" s="14"/>
      <c r="M12" s="14"/>
      <c r="N12" s="14"/>
      <c r="O12" s="14"/>
      <c r="P12" s="14"/>
      <c r="Q12" s="14"/>
      <c r="R12" s="14"/>
      <c r="S12" s="13" t="s">
        <v>40</v>
      </c>
      <c r="T12" s="13" t="s">
        <v>40</v>
      </c>
      <c r="U12" s="13" t="s">
        <v>40</v>
      </c>
      <c r="V12" s="13" t="s">
        <v>40</v>
      </c>
      <c r="W12" s="13" t="s">
        <v>40</v>
      </c>
      <c r="X12" s="14"/>
      <c r="Y12" s="14"/>
      <c r="Z12" s="14"/>
      <c r="AA12" s="14"/>
    </row>
    <row r="13" spans="1:27" ht="26.1" customHeight="1" x14ac:dyDescent="0.25">
      <c r="A13" s="8" t="s">
        <v>61</v>
      </c>
      <c r="B13" s="9" t="s">
        <v>62</v>
      </c>
      <c r="C13" s="10" t="s">
        <v>63</v>
      </c>
      <c r="D13" s="49">
        <v>46243</v>
      </c>
      <c r="E13" s="49">
        <v>46267</v>
      </c>
      <c r="F13" s="8">
        <f>E13-D13+1</f>
        <v>25</v>
      </c>
      <c r="G13" s="8">
        <v>4</v>
      </c>
      <c r="H13" s="10" t="s">
        <v>64</v>
      </c>
      <c r="I13" s="12" t="s">
        <v>39</v>
      </c>
      <c r="J13" s="14"/>
      <c r="K13" s="14"/>
      <c r="L13" s="14"/>
      <c r="M13" s="14"/>
      <c r="N13" s="14"/>
      <c r="O13" s="14"/>
      <c r="P13" s="14"/>
      <c r="Q13" s="14"/>
      <c r="R13" s="14"/>
      <c r="S13" s="13" t="s">
        <v>40</v>
      </c>
      <c r="T13" s="13" t="s">
        <v>40</v>
      </c>
      <c r="U13" s="13" t="s">
        <v>40</v>
      </c>
      <c r="V13" s="13" t="s">
        <v>40</v>
      </c>
      <c r="W13" s="13" t="s">
        <v>40</v>
      </c>
      <c r="X13" s="14"/>
      <c r="Y13" s="14"/>
      <c r="Z13" s="14"/>
      <c r="AA13" s="14"/>
    </row>
    <row r="14" spans="1:27" ht="26.1" customHeight="1" x14ac:dyDescent="0.25">
      <c r="A14" s="15" t="s">
        <v>65</v>
      </c>
      <c r="B14" s="16" t="s">
        <v>66</v>
      </c>
      <c r="C14" s="17" t="s">
        <v>67</v>
      </c>
      <c r="D14" s="50">
        <v>46271</v>
      </c>
      <c r="E14" s="50">
        <v>46271</v>
      </c>
      <c r="F14" s="15">
        <f>E14-D14+1</f>
        <v>1</v>
      </c>
      <c r="G14" s="15">
        <v>1</v>
      </c>
      <c r="H14" s="17" t="s">
        <v>68</v>
      </c>
      <c r="I14" s="12" t="s">
        <v>39</v>
      </c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3" t="s">
        <v>40</v>
      </c>
      <c r="X14" s="14"/>
      <c r="Y14" s="14"/>
      <c r="Z14" s="14"/>
      <c r="AA14" s="14"/>
    </row>
    <row r="15" spans="1:27" ht="26.1" customHeight="1" x14ac:dyDescent="0.25">
      <c r="A15" s="8" t="s">
        <v>69</v>
      </c>
      <c r="B15" s="9" t="s">
        <v>70</v>
      </c>
      <c r="C15" s="10" t="s">
        <v>71</v>
      </c>
      <c r="D15" s="49">
        <v>46272</v>
      </c>
      <c r="E15" s="49">
        <v>46273</v>
      </c>
      <c r="F15" s="8">
        <f>E15-D15+1</f>
        <v>2</v>
      </c>
      <c r="G15" s="8">
        <v>1</v>
      </c>
      <c r="H15" s="10" t="s">
        <v>72</v>
      </c>
      <c r="I15" s="12" t="s">
        <v>39</v>
      </c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3" t="s">
        <v>40</v>
      </c>
      <c r="Y15" s="14"/>
      <c r="Z15" s="14"/>
      <c r="AA15" s="14"/>
    </row>
    <row r="16" spans="1:27" ht="26.1" customHeight="1" x14ac:dyDescent="0.25">
      <c r="A16" s="15" t="s">
        <v>73</v>
      </c>
      <c r="B16" s="16" t="s">
        <v>74</v>
      </c>
      <c r="C16" s="17" t="s">
        <v>75</v>
      </c>
      <c r="D16" s="50">
        <v>46275</v>
      </c>
      <c r="E16" s="50">
        <v>46277</v>
      </c>
      <c r="F16" s="15">
        <f>E16-D16+1</f>
        <v>3</v>
      </c>
      <c r="G16" s="15">
        <v>1</v>
      </c>
      <c r="H16" s="17" t="s">
        <v>76</v>
      </c>
      <c r="I16" s="12" t="s">
        <v>39</v>
      </c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3" t="s">
        <v>40</v>
      </c>
      <c r="Y16" s="14"/>
      <c r="Z16" s="14"/>
      <c r="AA16" s="14"/>
    </row>
    <row r="17" spans="1:27" ht="26.1" customHeight="1" x14ac:dyDescent="0.25">
      <c r="A17" s="8" t="s">
        <v>77</v>
      </c>
      <c r="B17" s="9" t="s">
        <v>78</v>
      </c>
      <c r="C17" s="10" t="s">
        <v>79</v>
      </c>
      <c r="D17" s="49">
        <v>46282</v>
      </c>
      <c r="E17" s="49">
        <v>46286</v>
      </c>
      <c r="F17" s="8">
        <f>E17-D17+1</f>
        <v>5</v>
      </c>
      <c r="G17" s="8">
        <v>2</v>
      </c>
      <c r="H17" s="10" t="s">
        <v>81</v>
      </c>
      <c r="I17" s="12" t="s">
        <v>39</v>
      </c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3" t="s">
        <v>40</v>
      </c>
      <c r="Z17" s="13" t="s">
        <v>40</v>
      </c>
      <c r="AA17" s="14"/>
    </row>
    <row r="18" spans="1:27" ht="26.1" customHeight="1" x14ac:dyDescent="0.25">
      <c r="A18" s="15" t="s">
        <v>82</v>
      </c>
      <c r="B18" s="16" t="s">
        <v>83</v>
      </c>
      <c r="C18" s="17" t="s">
        <v>84</v>
      </c>
      <c r="D18" s="50">
        <v>46286</v>
      </c>
      <c r="E18" s="50">
        <v>46286</v>
      </c>
      <c r="F18" s="15">
        <f>E18-D18+1</f>
        <v>1</v>
      </c>
      <c r="G18" s="15">
        <v>1</v>
      </c>
      <c r="H18" s="17" t="s">
        <v>85</v>
      </c>
      <c r="I18" s="12" t="s">
        <v>39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3" t="s">
        <v>40</v>
      </c>
      <c r="AA18" s="14"/>
    </row>
    <row r="19" spans="1:27" ht="24" customHeight="1" x14ac:dyDescent="0.25">
      <c r="A19" s="19" t="s">
        <v>86</v>
      </c>
      <c r="B19" s="20" t="s">
        <v>87</v>
      </c>
      <c r="C19" s="20" t="s">
        <v>88</v>
      </c>
      <c r="D19" s="19" t="s">
        <v>37</v>
      </c>
      <c r="E19" s="19" t="s">
        <v>80</v>
      </c>
      <c r="F19" s="19">
        <v>113</v>
      </c>
      <c r="G19" s="19">
        <f>SUM(G7:G18)</f>
        <v>42</v>
      </c>
      <c r="H19" s="20" t="s">
        <v>89</v>
      </c>
      <c r="I19" s="19" t="s">
        <v>90</v>
      </c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</row>
    <row r="22" spans="1:27" ht="21.95" customHeight="1" x14ac:dyDescent="0.25">
      <c r="A22" s="3" t="s">
        <v>91</v>
      </c>
      <c r="J22" s="40" t="s">
        <v>92</v>
      </c>
      <c r="K22" s="41"/>
      <c r="L22" s="41"/>
      <c r="M22" s="41"/>
      <c r="N22" s="41"/>
      <c r="O22" s="41"/>
      <c r="P22" s="41"/>
      <c r="Q22" s="41"/>
      <c r="R22" s="41"/>
      <c r="S22" s="41"/>
    </row>
    <row r="23" spans="1:27" ht="24.95" customHeight="1" x14ac:dyDescent="0.25">
      <c r="A23" s="22" t="s">
        <v>93</v>
      </c>
      <c r="B23" s="23" t="s">
        <v>94</v>
      </c>
      <c r="C23" s="24" t="s">
        <v>95</v>
      </c>
      <c r="D23" s="22" t="s">
        <v>96</v>
      </c>
      <c r="E23" s="22" t="s">
        <v>97</v>
      </c>
      <c r="F23" s="22" t="s">
        <v>98</v>
      </c>
      <c r="G23" s="22" t="s">
        <v>99</v>
      </c>
      <c r="H23" s="24" t="s">
        <v>100</v>
      </c>
      <c r="I23" s="22" t="s">
        <v>101</v>
      </c>
      <c r="J23" s="7" t="s">
        <v>102</v>
      </c>
      <c r="K23" s="7" t="s">
        <v>103</v>
      </c>
      <c r="L23" s="7" t="s">
        <v>104</v>
      </c>
      <c r="M23" s="7" t="s">
        <v>105</v>
      </c>
      <c r="N23" s="7" t="s">
        <v>106</v>
      </c>
      <c r="O23" s="7" t="s">
        <v>107</v>
      </c>
      <c r="P23" s="7" t="s">
        <v>108</v>
      </c>
      <c r="Q23" s="7" t="s">
        <v>109</v>
      </c>
      <c r="R23" s="7" t="s">
        <v>110</v>
      </c>
      <c r="S23" s="7" t="s">
        <v>111</v>
      </c>
    </row>
    <row r="24" spans="1:27" ht="27.95" customHeight="1" x14ac:dyDescent="0.25">
      <c r="A24" s="8" t="s">
        <v>112</v>
      </c>
      <c r="B24" s="9" t="s">
        <v>113</v>
      </c>
      <c r="C24" s="10" t="s">
        <v>114</v>
      </c>
      <c r="D24" s="11" t="s">
        <v>115</v>
      </c>
      <c r="E24" s="11" t="s">
        <v>116</v>
      </c>
      <c r="F24" s="8">
        <v>1</v>
      </c>
      <c r="G24" s="8">
        <v>9</v>
      </c>
      <c r="H24" s="10" t="s">
        <v>117</v>
      </c>
      <c r="I24" s="11" t="s">
        <v>118</v>
      </c>
      <c r="J24" s="25" t="s">
        <v>40</v>
      </c>
      <c r="K24" s="14"/>
      <c r="L24" s="14"/>
      <c r="M24" s="14"/>
      <c r="N24" s="14"/>
      <c r="O24" s="14"/>
      <c r="P24" s="14"/>
      <c r="Q24" s="14"/>
      <c r="R24" s="14"/>
      <c r="S24" s="14"/>
    </row>
    <row r="25" spans="1:27" ht="27.95" customHeight="1" x14ac:dyDescent="0.25">
      <c r="A25" s="15" t="s">
        <v>119</v>
      </c>
      <c r="B25" s="16" t="s">
        <v>120</v>
      </c>
      <c r="C25" s="17" t="s">
        <v>121</v>
      </c>
      <c r="D25" s="18" t="s">
        <v>122</v>
      </c>
      <c r="E25" s="18" t="s">
        <v>123</v>
      </c>
      <c r="F25" s="15">
        <v>2</v>
      </c>
      <c r="G25" s="15">
        <v>15</v>
      </c>
      <c r="H25" s="17" t="s">
        <v>124</v>
      </c>
      <c r="I25" s="18" t="s">
        <v>125</v>
      </c>
      <c r="J25" s="14"/>
      <c r="K25" s="25" t="s">
        <v>40</v>
      </c>
      <c r="L25" s="25" t="s">
        <v>40</v>
      </c>
      <c r="M25" s="14"/>
      <c r="N25" s="14"/>
      <c r="O25" s="14"/>
      <c r="P25" s="14"/>
      <c r="Q25" s="14"/>
      <c r="R25" s="14"/>
      <c r="S25" s="14"/>
    </row>
    <row r="26" spans="1:27" ht="27.95" customHeight="1" x14ac:dyDescent="0.25">
      <c r="A26" s="8" t="s">
        <v>126</v>
      </c>
      <c r="B26" s="9" t="s">
        <v>127</v>
      </c>
      <c r="C26" s="10" t="s">
        <v>128</v>
      </c>
      <c r="D26" s="11" t="s">
        <v>129</v>
      </c>
      <c r="E26" s="11" t="s">
        <v>130</v>
      </c>
      <c r="F26" s="8">
        <v>2</v>
      </c>
      <c r="G26" s="8">
        <v>23</v>
      </c>
      <c r="H26" s="10" t="s">
        <v>131</v>
      </c>
      <c r="I26" s="11" t="s">
        <v>132</v>
      </c>
      <c r="J26" s="14"/>
      <c r="K26" s="14"/>
      <c r="L26" s="14"/>
      <c r="M26" s="25" t="s">
        <v>40</v>
      </c>
      <c r="N26" s="25" t="s">
        <v>40</v>
      </c>
      <c r="O26" s="14"/>
      <c r="P26" s="14"/>
      <c r="Q26" s="14"/>
      <c r="R26" s="14"/>
      <c r="S26" s="14"/>
    </row>
    <row r="27" spans="1:27" ht="27.95" customHeight="1" x14ac:dyDescent="0.25">
      <c r="A27" s="15" t="s">
        <v>133</v>
      </c>
      <c r="B27" s="16" t="s">
        <v>134</v>
      </c>
      <c r="C27" s="17" t="s">
        <v>135</v>
      </c>
      <c r="D27" s="18" t="s">
        <v>136</v>
      </c>
      <c r="E27" s="18" t="s">
        <v>137</v>
      </c>
      <c r="F27" s="15">
        <v>1</v>
      </c>
      <c r="G27" s="15">
        <v>13</v>
      </c>
      <c r="H27" s="17" t="s">
        <v>138</v>
      </c>
      <c r="I27" s="18" t="s">
        <v>139</v>
      </c>
      <c r="J27" s="14"/>
      <c r="K27" s="14"/>
      <c r="L27" s="14"/>
      <c r="M27" s="14"/>
      <c r="N27" s="14"/>
      <c r="O27" s="25" t="s">
        <v>40</v>
      </c>
      <c r="P27" s="14"/>
      <c r="Q27" s="14"/>
      <c r="R27" s="14"/>
      <c r="S27" s="14"/>
    </row>
    <row r="28" spans="1:27" ht="27.95" customHeight="1" x14ac:dyDescent="0.25">
      <c r="A28" s="8" t="s">
        <v>140</v>
      </c>
      <c r="B28" s="9" t="s">
        <v>141</v>
      </c>
      <c r="C28" s="10" t="s">
        <v>142</v>
      </c>
      <c r="D28" s="11" t="s">
        <v>143</v>
      </c>
      <c r="E28" s="11" t="s">
        <v>144</v>
      </c>
      <c r="F28" s="8">
        <v>1</v>
      </c>
      <c r="G28" s="8">
        <v>9</v>
      </c>
      <c r="H28" s="10" t="s">
        <v>145</v>
      </c>
      <c r="I28" s="11" t="s">
        <v>146</v>
      </c>
      <c r="J28" s="14"/>
      <c r="K28" s="14"/>
      <c r="L28" s="14"/>
      <c r="M28" s="14"/>
      <c r="N28" s="14"/>
      <c r="O28" s="14"/>
      <c r="P28" s="25" t="s">
        <v>40</v>
      </c>
      <c r="Q28" s="14"/>
      <c r="R28" s="14"/>
      <c r="S28" s="14"/>
    </row>
    <row r="29" spans="1:27" ht="27.95" customHeight="1" x14ac:dyDescent="0.25">
      <c r="A29" s="15" t="s">
        <v>147</v>
      </c>
      <c r="B29" s="16" t="s">
        <v>148</v>
      </c>
      <c r="C29" s="17" t="s">
        <v>149</v>
      </c>
      <c r="D29" s="18" t="s">
        <v>150</v>
      </c>
      <c r="E29" s="18" t="s">
        <v>151</v>
      </c>
      <c r="F29" s="15">
        <v>1</v>
      </c>
      <c r="G29" s="15">
        <v>12</v>
      </c>
      <c r="H29" s="17" t="s">
        <v>152</v>
      </c>
      <c r="I29" s="18" t="s">
        <v>153</v>
      </c>
      <c r="J29" s="14"/>
      <c r="K29" s="14"/>
      <c r="L29" s="14"/>
      <c r="M29" s="14"/>
      <c r="N29" s="14"/>
      <c r="O29" s="14"/>
      <c r="P29" s="14"/>
      <c r="Q29" s="25" t="s">
        <v>40</v>
      </c>
      <c r="R29" s="14"/>
      <c r="S29" s="14"/>
    </row>
    <row r="30" spans="1:27" ht="27.95" customHeight="1" x14ac:dyDescent="0.25">
      <c r="A30" s="8" t="s">
        <v>154</v>
      </c>
      <c r="B30" s="9" t="s">
        <v>155</v>
      </c>
      <c r="C30" s="10" t="s">
        <v>156</v>
      </c>
      <c r="D30" s="11" t="s">
        <v>157</v>
      </c>
      <c r="E30" s="11" t="s">
        <v>158</v>
      </c>
      <c r="F30" s="8">
        <v>2</v>
      </c>
      <c r="G30" s="8">
        <v>11</v>
      </c>
      <c r="H30" s="10" t="s">
        <v>159</v>
      </c>
      <c r="I30" s="11" t="s">
        <v>160</v>
      </c>
      <c r="J30" s="14"/>
      <c r="K30" s="14"/>
      <c r="L30" s="14"/>
      <c r="M30" s="14"/>
      <c r="N30" s="14"/>
      <c r="O30" s="14"/>
      <c r="P30" s="25" t="s">
        <v>40</v>
      </c>
      <c r="Q30" s="25" t="s">
        <v>40</v>
      </c>
      <c r="R30" s="14"/>
      <c r="S30" s="14"/>
    </row>
    <row r="31" spans="1:27" ht="27.95" customHeight="1" x14ac:dyDescent="0.25">
      <c r="A31" s="15" t="s">
        <v>161</v>
      </c>
      <c r="B31" s="16" t="s">
        <v>162</v>
      </c>
      <c r="C31" s="17" t="s">
        <v>163</v>
      </c>
      <c r="D31" s="18" t="s">
        <v>164</v>
      </c>
      <c r="E31" s="18" t="s">
        <v>165</v>
      </c>
      <c r="F31" s="15">
        <v>1</v>
      </c>
      <c r="G31" s="15">
        <v>12</v>
      </c>
      <c r="H31" s="17" t="s">
        <v>166</v>
      </c>
      <c r="I31" s="18" t="s">
        <v>167</v>
      </c>
      <c r="J31" s="14"/>
      <c r="K31" s="14"/>
      <c r="L31" s="14"/>
      <c r="M31" s="14"/>
      <c r="N31" s="14"/>
      <c r="O31" s="14"/>
      <c r="P31" s="14"/>
      <c r="Q31" s="14"/>
      <c r="R31" s="25" t="s">
        <v>40</v>
      </c>
      <c r="S31" s="14"/>
    </row>
    <row r="32" spans="1:27" ht="27.95" customHeight="1" x14ac:dyDescent="0.25">
      <c r="A32" s="8" t="s">
        <v>168</v>
      </c>
      <c r="B32" s="9" t="s">
        <v>169</v>
      </c>
      <c r="C32" s="10" t="s">
        <v>170</v>
      </c>
      <c r="D32" s="11" t="s">
        <v>171</v>
      </c>
      <c r="E32" s="11" t="s">
        <v>172</v>
      </c>
      <c r="F32" s="8">
        <v>1</v>
      </c>
      <c r="G32" s="8">
        <v>15</v>
      </c>
      <c r="H32" s="10" t="s">
        <v>173</v>
      </c>
      <c r="I32" s="11" t="s">
        <v>174</v>
      </c>
      <c r="J32" s="14"/>
      <c r="K32" s="14"/>
      <c r="L32" s="14"/>
      <c r="M32" s="14"/>
      <c r="N32" s="14"/>
      <c r="O32" s="14"/>
      <c r="P32" s="14"/>
      <c r="Q32" s="14"/>
      <c r="R32" s="14"/>
      <c r="S32" s="25" t="s">
        <v>40</v>
      </c>
    </row>
    <row r="33" spans="1:27" ht="24" customHeight="1" x14ac:dyDescent="0.25">
      <c r="A33" s="19" t="s">
        <v>175</v>
      </c>
      <c r="B33" s="20" t="s">
        <v>176</v>
      </c>
      <c r="C33" s="20" t="s">
        <v>177</v>
      </c>
      <c r="D33" s="19" t="s">
        <v>178</v>
      </c>
      <c r="E33" s="19" t="s">
        <v>179</v>
      </c>
      <c r="F33" s="19">
        <v>10</v>
      </c>
      <c r="G33" s="19">
        <v>119</v>
      </c>
      <c r="H33" s="20" t="s">
        <v>180</v>
      </c>
      <c r="I33" s="19" t="s">
        <v>181</v>
      </c>
      <c r="J33" s="21"/>
      <c r="K33" s="21"/>
      <c r="L33" s="21"/>
      <c r="M33" s="21"/>
      <c r="N33" s="21"/>
      <c r="O33" s="21"/>
      <c r="P33" s="21"/>
      <c r="Q33" s="21"/>
      <c r="R33" s="21"/>
      <c r="S33" s="21"/>
    </row>
    <row r="36" spans="1:27" ht="15.75" x14ac:dyDescent="0.25">
      <c r="A36" s="3" t="s">
        <v>182</v>
      </c>
    </row>
    <row r="37" spans="1:27" x14ac:dyDescent="0.25">
      <c r="A37" s="2" t="s">
        <v>183</v>
      </c>
    </row>
    <row r="39" spans="1:27" ht="24.95" customHeight="1" x14ac:dyDescent="0.25">
      <c r="A39" s="4" t="s">
        <v>184</v>
      </c>
      <c r="B39" s="5" t="s">
        <v>185</v>
      </c>
      <c r="C39" s="43" t="s">
        <v>186</v>
      </c>
      <c r="D39" s="47"/>
      <c r="E39" s="47"/>
      <c r="F39" s="43" t="s">
        <v>187</v>
      </c>
      <c r="G39" s="47"/>
      <c r="H39" s="47"/>
      <c r="I39" s="43" t="s">
        <v>188</v>
      </c>
      <c r="J39" s="47"/>
      <c r="K39" s="47"/>
      <c r="L39" s="48" t="s">
        <v>189</v>
      </c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</row>
    <row r="40" spans="1:27" ht="36" customHeight="1" x14ac:dyDescent="0.25">
      <c r="A40" s="8" t="s">
        <v>190</v>
      </c>
      <c r="B40" s="9" t="s">
        <v>191</v>
      </c>
      <c r="C40" s="38" t="s">
        <v>192</v>
      </c>
      <c r="D40" s="39"/>
      <c r="E40" s="39"/>
      <c r="F40" s="38" t="s">
        <v>193</v>
      </c>
      <c r="G40" s="39"/>
      <c r="H40" s="39"/>
      <c r="I40" s="46" t="s">
        <v>194</v>
      </c>
      <c r="J40" s="39"/>
      <c r="K40" s="39"/>
      <c r="L40" s="38" t="s">
        <v>195</v>
      </c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 spans="1:27" ht="36" customHeight="1" x14ac:dyDescent="0.25">
      <c r="A41" s="15" t="s">
        <v>196</v>
      </c>
      <c r="B41" s="16" t="s">
        <v>197</v>
      </c>
      <c r="C41" s="42" t="s">
        <v>198</v>
      </c>
      <c r="D41" s="37"/>
      <c r="E41" s="37"/>
      <c r="F41" s="42" t="s">
        <v>199</v>
      </c>
      <c r="G41" s="37"/>
      <c r="H41" s="37"/>
      <c r="I41" s="36" t="s">
        <v>200</v>
      </c>
      <c r="J41" s="37"/>
      <c r="K41" s="37"/>
      <c r="L41" s="42" t="s">
        <v>201</v>
      </c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</row>
    <row r="42" spans="1:27" ht="36" customHeight="1" x14ac:dyDescent="0.25">
      <c r="A42" s="8" t="s">
        <v>202</v>
      </c>
      <c r="B42" s="9" t="s">
        <v>203</v>
      </c>
      <c r="C42" s="38" t="s">
        <v>204</v>
      </c>
      <c r="D42" s="39"/>
      <c r="E42" s="39"/>
      <c r="F42" s="38" t="s">
        <v>205</v>
      </c>
      <c r="G42" s="39"/>
      <c r="H42" s="39"/>
      <c r="I42" s="46" t="s">
        <v>206</v>
      </c>
      <c r="J42" s="39"/>
      <c r="K42" s="39"/>
      <c r="L42" s="38" t="s">
        <v>207</v>
      </c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 spans="1:27" ht="36" customHeight="1" x14ac:dyDescent="0.25">
      <c r="A43" s="15" t="s">
        <v>208</v>
      </c>
      <c r="B43" s="16" t="s">
        <v>209</v>
      </c>
      <c r="C43" s="42" t="s">
        <v>210</v>
      </c>
      <c r="D43" s="37"/>
      <c r="E43" s="37"/>
      <c r="F43" s="42" t="s">
        <v>211</v>
      </c>
      <c r="G43" s="37"/>
      <c r="H43" s="37"/>
      <c r="I43" s="36" t="s">
        <v>212</v>
      </c>
      <c r="J43" s="37"/>
      <c r="K43" s="37"/>
      <c r="L43" s="42" t="s">
        <v>213</v>
      </c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</row>
    <row r="44" spans="1:27" ht="36" customHeight="1" x14ac:dyDescent="0.25">
      <c r="A44" s="8" t="s">
        <v>214</v>
      </c>
      <c r="B44" s="9" t="s">
        <v>215</v>
      </c>
      <c r="C44" s="38" t="s">
        <v>216</v>
      </c>
      <c r="D44" s="39"/>
      <c r="E44" s="39"/>
      <c r="F44" s="38" t="s">
        <v>217</v>
      </c>
      <c r="G44" s="39"/>
      <c r="H44" s="39"/>
      <c r="I44" s="46" t="s">
        <v>218</v>
      </c>
      <c r="J44" s="39"/>
      <c r="K44" s="39"/>
      <c r="L44" s="38" t="s">
        <v>219</v>
      </c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 spans="1:27" ht="36" customHeight="1" x14ac:dyDescent="0.25">
      <c r="A45" s="15" t="s">
        <v>220</v>
      </c>
      <c r="B45" s="16" t="s">
        <v>221</v>
      </c>
      <c r="C45" s="42" t="s">
        <v>222</v>
      </c>
      <c r="D45" s="37"/>
      <c r="E45" s="37"/>
      <c r="F45" s="42" t="s">
        <v>223</v>
      </c>
      <c r="G45" s="37"/>
      <c r="H45" s="37"/>
      <c r="I45" s="36" t="s">
        <v>224</v>
      </c>
      <c r="J45" s="37"/>
      <c r="K45" s="37"/>
      <c r="L45" s="42" t="s">
        <v>225</v>
      </c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</row>
    <row r="46" spans="1:27" ht="36" customHeight="1" x14ac:dyDescent="0.25">
      <c r="A46" s="8" t="s">
        <v>226</v>
      </c>
      <c r="B46" s="9" t="s">
        <v>227</v>
      </c>
      <c r="C46" s="38" t="s">
        <v>228</v>
      </c>
      <c r="D46" s="39"/>
      <c r="E46" s="39"/>
      <c r="F46" s="38" t="s">
        <v>229</v>
      </c>
      <c r="G46" s="39"/>
      <c r="H46" s="39"/>
      <c r="I46" s="46" t="s">
        <v>230</v>
      </c>
      <c r="J46" s="39"/>
      <c r="K46" s="39"/>
      <c r="L46" s="38" t="s">
        <v>231</v>
      </c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 spans="1:27" ht="36" customHeight="1" x14ac:dyDescent="0.25">
      <c r="A47" s="15" t="s">
        <v>232</v>
      </c>
      <c r="B47" s="16" t="s">
        <v>233</v>
      </c>
      <c r="C47" s="42" t="s">
        <v>234</v>
      </c>
      <c r="D47" s="37"/>
      <c r="E47" s="37"/>
      <c r="F47" s="42" t="s">
        <v>235</v>
      </c>
      <c r="G47" s="37"/>
      <c r="H47" s="37"/>
      <c r="I47" s="36" t="s">
        <v>236</v>
      </c>
      <c r="J47" s="37"/>
      <c r="K47" s="37"/>
      <c r="L47" s="42" t="s">
        <v>237</v>
      </c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</row>
    <row r="48" spans="1:27" ht="36" customHeight="1" x14ac:dyDescent="0.25">
      <c r="A48" s="8" t="s">
        <v>238</v>
      </c>
      <c r="B48" s="9" t="s">
        <v>239</v>
      </c>
      <c r="C48" s="38" t="s">
        <v>240</v>
      </c>
      <c r="D48" s="39"/>
      <c r="E48" s="39"/>
      <c r="F48" s="38" t="s">
        <v>241</v>
      </c>
      <c r="G48" s="39"/>
      <c r="H48" s="39"/>
      <c r="I48" s="46" t="s">
        <v>242</v>
      </c>
      <c r="J48" s="39"/>
      <c r="K48" s="39"/>
      <c r="L48" s="38" t="s">
        <v>243</v>
      </c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 spans="1:27" ht="36" customHeight="1" x14ac:dyDescent="0.25">
      <c r="A49" s="15" t="s">
        <v>244</v>
      </c>
      <c r="B49" s="16" t="s">
        <v>245</v>
      </c>
      <c r="C49" s="42" t="s">
        <v>246</v>
      </c>
      <c r="D49" s="37"/>
      <c r="E49" s="37"/>
      <c r="F49" s="42" t="s">
        <v>247</v>
      </c>
      <c r="G49" s="37"/>
      <c r="H49" s="37"/>
      <c r="I49" s="36" t="s">
        <v>248</v>
      </c>
      <c r="J49" s="37"/>
      <c r="K49" s="37"/>
      <c r="L49" s="42" t="s">
        <v>249</v>
      </c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</row>
    <row r="50" spans="1:27" ht="36" customHeight="1" x14ac:dyDescent="0.25">
      <c r="A50" s="8" t="s">
        <v>250</v>
      </c>
      <c r="B50" s="9" t="s">
        <v>251</v>
      </c>
      <c r="C50" s="38" t="s">
        <v>252</v>
      </c>
      <c r="D50" s="39"/>
      <c r="E50" s="39"/>
      <c r="F50" s="38" t="s">
        <v>253</v>
      </c>
      <c r="G50" s="39"/>
      <c r="H50" s="39"/>
      <c r="I50" s="46" t="s">
        <v>254</v>
      </c>
      <c r="J50" s="39"/>
      <c r="K50" s="39"/>
      <c r="L50" s="38" t="s">
        <v>255</v>
      </c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 spans="1:27" ht="36" customHeight="1" x14ac:dyDescent="0.25">
      <c r="A51" s="15" t="s">
        <v>256</v>
      </c>
      <c r="B51" s="16" t="s">
        <v>257</v>
      </c>
      <c r="C51" s="42" t="s">
        <v>258</v>
      </c>
      <c r="D51" s="37"/>
      <c r="E51" s="37"/>
      <c r="F51" s="42" t="s">
        <v>259</v>
      </c>
      <c r="G51" s="37"/>
      <c r="H51" s="37"/>
      <c r="I51" s="36" t="s">
        <v>260</v>
      </c>
      <c r="J51" s="37"/>
      <c r="K51" s="37"/>
      <c r="L51" s="42" t="s">
        <v>261</v>
      </c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</row>
    <row r="52" spans="1:27" ht="36" customHeight="1" x14ac:dyDescent="0.25">
      <c r="A52" s="8" t="s">
        <v>262</v>
      </c>
      <c r="B52" s="9" t="s">
        <v>263</v>
      </c>
      <c r="C52" s="38" t="s">
        <v>264</v>
      </c>
      <c r="D52" s="39"/>
      <c r="E52" s="39"/>
      <c r="F52" s="38" t="s">
        <v>265</v>
      </c>
      <c r="G52" s="39"/>
      <c r="H52" s="39"/>
      <c r="I52" s="46" t="s">
        <v>266</v>
      </c>
      <c r="J52" s="39"/>
      <c r="K52" s="39"/>
      <c r="L52" s="38" t="s">
        <v>267</v>
      </c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5" spans="1:27" ht="15.75" x14ac:dyDescent="0.25">
      <c r="A55" s="3" t="s">
        <v>268</v>
      </c>
    </row>
    <row r="56" spans="1:27" ht="21.95" customHeight="1" x14ac:dyDescent="0.25">
      <c r="A56" s="45" t="s">
        <v>269</v>
      </c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</row>
    <row r="57" spans="1:27" ht="21.95" customHeight="1" x14ac:dyDescent="0.25">
      <c r="A57" s="45" t="s">
        <v>270</v>
      </c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</row>
    <row r="58" spans="1:27" ht="21.95" customHeight="1" x14ac:dyDescent="0.25">
      <c r="A58" s="45" t="s">
        <v>271</v>
      </c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</row>
    <row r="59" spans="1:27" ht="21.95" customHeight="1" x14ac:dyDescent="0.25">
      <c r="A59" s="45" t="s">
        <v>272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</row>
  </sheetData>
  <mergeCells count="65">
    <mergeCell ref="A59:AA59"/>
    <mergeCell ref="F40:H40"/>
    <mergeCell ref="X5:AA5"/>
    <mergeCell ref="C47:E47"/>
    <mergeCell ref="A58:AA58"/>
    <mergeCell ref="L42:AA42"/>
    <mergeCell ref="I46:K46"/>
    <mergeCell ref="I49:K49"/>
    <mergeCell ref="C45:E45"/>
    <mergeCell ref="I45:K45"/>
    <mergeCell ref="L45:AA45"/>
    <mergeCell ref="F51:H51"/>
    <mergeCell ref="A57:AA57"/>
    <mergeCell ref="C39:E39"/>
    <mergeCell ref="I39:K39"/>
    <mergeCell ref="F43:H43"/>
    <mergeCell ref="C48:E48"/>
    <mergeCell ref="I48:K48"/>
    <mergeCell ref="L48:AA48"/>
    <mergeCell ref="F52:H52"/>
    <mergeCell ref="F48:H48"/>
    <mergeCell ref="I44:K44"/>
    <mergeCell ref="F39:H39"/>
    <mergeCell ref="I51:K51"/>
    <mergeCell ref="I50:K50"/>
    <mergeCell ref="F49:H49"/>
    <mergeCell ref="L47:AA47"/>
    <mergeCell ref="C49:E49"/>
    <mergeCell ref="A56:AA56"/>
    <mergeCell ref="F46:H46"/>
    <mergeCell ref="I42:K42"/>
    <mergeCell ref="L49:AA49"/>
    <mergeCell ref="C52:E52"/>
    <mergeCell ref="I52:K52"/>
    <mergeCell ref="L51:AA51"/>
    <mergeCell ref="F44:H44"/>
    <mergeCell ref="L43:AA43"/>
    <mergeCell ref="C42:E42"/>
    <mergeCell ref="L52:AA52"/>
    <mergeCell ref="C43:E43"/>
    <mergeCell ref="C51:E51"/>
    <mergeCell ref="C46:E46"/>
    <mergeCell ref="F47:H47"/>
    <mergeCell ref="L46:AA46"/>
    <mergeCell ref="J5:N5"/>
    <mergeCell ref="L44:AA44"/>
    <mergeCell ref="C40:E40"/>
    <mergeCell ref="F50:H50"/>
    <mergeCell ref="L40:AA40"/>
    <mergeCell ref="L50:AA50"/>
    <mergeCell ref="I43:K43"/>
    <mergeCell ref="O5:R5"/>
    <mergeCell ref="I40:K40"/>
    <mergeCell ref="L39:AA39"/>
    <mergeCell ref="S5:W5"/>
    <mergeCell ref="I41:K41"/>
    <mergeCell ref="I47:K47"/>
    <mergeCell ref="C50:E50"/>
    <mergeCell ref="J22:S22"/>
    <mergeCell ref="C41:E41"/>
    <mergeCell ref="F42:H42"/>
    <mergeCell ref="L41:AA41"/>
    <mergeCell ref="C44:E44"/>
    <mergeCell ref="F45:H45"/>
    <mergeCell ref="F41:H4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6"/>
  <sheetViews>
    <sheetView workbookViewId="0"/>
  </sheetViews>
  <sheetFormatPr baseColWidth="10" defaultColWidth="9.140625" defaultRowHeight="15" x14ac:dyDescent="0.25"/>
  <cols>
    <col min="1" max="1" width="10" customWidth="1"/>
    <col min="2" max="2" width="32" customWidth="1"/>
    <col min="3" max="3" width="10" customWidth="1"/>
    <col min="4" max="4" width="48" customWidth="1"/>
    <col min="5" max="5" width="30" customWidth="1"/>
    <col min="6" max="6" width="14" customWidth="1"/>
    <col min="7" max="7" width="12" customWidth="1"/>
    <col min="8" max="8" width="22" customWidth="1"/>
    <col min="9" max="10" width="18" customWidth="1"/>
    <col min="11" max="12" width="14" customWidth="1"/>
    <col min="13" max="13" width="15" customWidth="1"/>
  </cols>
  <sheetData>
    <row r="1" spans="1:13" ht="19.5" x14ac:dyDescent="0.3">
      <c r="A1" s="1" t="s">
        <v>273</v>
      </c>
    </row>
    <row r="2" spans="1:13" x14ac:dyDescent="0.25">
      <c r="A2" s="2" t="s">
        <v>274</v>
      </c>
    </row>
    <row r="4" spans="1:13" ht="24.95" customHeight="1" x14ac:dyDescent="0.25">
      <c r="A4" s="4" t="s">
        <v>275</v>
      </c>
      <c r="B4" s="5" t="s">
        <v>8</v>
      </c>
      <c r="C4" s="4" t="s">
        <v>276</v>
      </c>
      <c r="D4" s="6" t="s">
        <v>277</v>
      </c>
      <c r="E4" s="5" t="s">
        <v>278</v>
      </c>
      <c r="F4" s="4" t="s">
        <v>279</v>
      </c>
      <c r="G4" s="4" t="s">
        <v>280</v>
      </c>
      <c r="H4" s="4" t="s">
        <v>281</v>
      </c>
      <c r="I4" s="4" t="s">
        <v>282</v>
      </c>
      <c r="J4" s="4" t="s">
        <v>283</v>
      </c>
      <c r="K4" s="4" t="s">
        <v>284</v>
      </c>
      <c r="L4" s="4" t="s">
        <v>285</v>
      </c>
      <c r="M4" s="4" t="s">
        <v>12</v>
      </c>
    </row>
    <row r="5" spans="1:13" ht="21.95" customHeight="1" x14ac:dyDescent="0.25">
      <c r="A5" s="8" t="s">
        <v>34</v>
      </c>
      <c r="B5" s="26" t="s">
        <v>35</v>
      </c>
      <c r="C5" s="8" t="s">
        <v>286</v>
      </c>
      <c r="D5" s="10" t="s">
        <v>287</v>
      </c>
      <c r="E5" s="26" t="s">
        <v>288</v>
      </c>
      <c r="F5" s="11" t="s">
        <v>289</v>
      </c>
      <c r="G5" s="11" t="s">
        <v>290</v>
      </c>
      <c r="H5" s="11" t="s">
        <v>291</v>
      </c>
      <c r="I5" s="11" t="s">
        <v>292</v>
      </c>
      <c r="J5" s="11" t="s">
        <v>292</v>
      </c>
      <c r="K5" s="49">
        <v>46174</v>
      </c>
      <c r="L5" s="49">
        <v>46174</v>
      </c>
      <c r="M5" s="8">
        <f>L5-K5+1</f>
        <v>1</v>
      </c>
    </row>
    <row r="6" spans="1:13" ht="21.95" customHeight="1" x14ac:dyDescent="0.25">
      <c r="A6" s="8" t="s">
        <v>34</v>
      </c>
      <c r="B6" s="26" t="s">
        <v>35</v>
      </c>
      <c r="C6" s="8" t="s">
        <v>293</v>
      </c>
      <c r="D6" s="10" t="s">
        <v>294</v>
      </c>
      <c r="E6" s="26" t="s">
        <v>295</v>
      </c>
      <c r="F6" s="11" t="s">
        <v>288</v>
      </c>
      <c r="G6" s="11" t="s">
        <v>290</v>
      </c>
      <c r="H6" s="11" t="s">
        <v>291</v>
      </c>
      <c r="I6" s="11" t="s">
        <v>296</v>
      </c>
      <c r="J6" s="11" t="s">
        <v>297</v>
      </c>
      <c r="K6" s="49">
        <v>46202</v>
      </c>
      <c r="L6" s="49">
        <v>46202</v>
      </c>
      <c r="M6" s="8">
        <f>L6-K6+1</f>
        <v>1</v>
      </c>
    </row>
    <row r="7" spans="1:13" ht="21.95" customHeight="1" x14ac:dyDescent="0.25">
      <c r="A7" s="8" t="s">
        <v>34</v>
      </c>
      <c r="B7" s="26" t="s">
        <v>35</v>
      </c>
      <c r="C7" s="8" t="s">
        <v>298</v>
      </c>
      <c r="D7" s="10" t="s">
        <v>299</v>
      </c>
      <c r="E7" s="26" t="s">
        <v>300</v>
      </c>
      <c r="F7" s="11" t="s">
        <v>288</v>
      </c>
      <c r="G7" s="11" t="s">
        <v>290</v>
      </c>
      <c r="H7" s="11" t="s">
        <v>291</v>
      </c>
      <c r="I7" s="11" t="s">
        <v>301</v>
      </c>
      <c r="J7" s="11" t="s">
        <v>302</v>
      </c>
      <c r="K7" s="49">
        <v>46218</v>
      </c>
      <c r="L7" s="49">
        <v>46218</v>
      </c>
      <c r="M7" s="8">
        <f>L7-K7+1</f>
        <v>1</v>
      </c>
    </row>
    <row r="8" spans="1:13" ht="21.95" customHeight="1" x14ac:dyDescent="0.25">
      <c r="A8" s="8" t="s">
        <v>34</v>
      </c>
      <c r="B8" s="26" t="s">
        <v>35</v>
      </c>
      <c r="C8" s="8" t="s">
        <v>303</v>
      </c>
      <c r="D8" s="10" t="s">
        <v>304</v>
      </c>
      <c r="E8" s="26" t="s">
        <v>305</v>
      </c>
      <c r="F8" s="11" t="s">
        <v>288</v>
      </c>
      <c r="G8" s="11" t="s">
        <v>290</v>
      </c>
      <c r="H8" s="11" t="s">
        <v>291</v>
      </c>
      <c r="I8" s="11" t="s">
        <v>306</v>
      </c>
      <c r="J8" s="11" t="s">
        <v>307</v>
      </c>
      <c r="K8" s="49">
        <v>46218</v>
      </c>
      <c r="L8" s="49">
        <v>46218</v>
      </c>
      <c r="M8" s="8">
        <f>L8-K8+1</f>
        <v>1</v>
      </c>
    </row>
    <row r="9" spans="1:13" ht="21.95" customHeight="1" x14ac:dyDescent="0.25">
      <c r="A9" s="8" t="s">
        <v>34</v>
      </c>
      <c r="B9" s="26" t="s">
        <v>35</v>
      </c>
      <c r="C9" s="8" t="s">
        <v>308</v>
      </c>
      <c r="D9" s="10" t="s">
        <v>309</v>
      </c>
      <c r="E9" s="26" t="s">
        <v>310</v>
      </c>
      <c r="F9" s="11" t="s">
        <v>288</v>
      </c>
      <c r="G9" s="11" t="s">
        <v>290</v>
      </c>
      <c r="H9" s="11" t="s">
        <v>291</v>
      </c>
      <c r="I9" s="11" t="s">
        <v>311</v>
      </c>
      <c r="J9" s="11" t="s">
        <v>312</v>
      </c>
      <c r="K9" s="49">
        <v>46243</v>
      </c>
      <c r="L9" s="49">
        <v>46243</v>
      </c>
      <c r="M9" s="8">
        <f>L9-K9+1</f>
        <v>1</v>
      </c>
    </row>
    <row r="10" spans="1:13" ht="21.95" customHeight="1" x14ac:dyDescent="0.25">
      <c r="A10" s="8" t="s">
        <v>34</v>
      </c>
      <c r="B10" s="26" t="s">
        <v>35</v>
      </c>
      <c r="C10" s="8" t="s">
        <v>313</v>
      </c>
      <c r="D10" s="10" t="s">
        <v>314</v>
      </c>
      <c r="E10" s="26" t="s">
        <v>315</v>
      </c>
      <c r="F10" s="11" t="s">
        <v>288</v>
      </c>
      <c r="G10" s="11" t="s">
        <v>290</v>
      </c>
      <c r="H10" s="11" t="s">
        <v>291</v>
      </c>
      <c r="I10" s="11" t="s">
        <v>316</v>
      </c>
      <c r="J10" s="11" t="s">
        <v>316</v>
      </c>
      <c r="K10" s="49">
        <v>46264</v>
      </c>
      <c r="L10" s="49">
        <v>46264</v>
      </c>
      <c r="M10" s="8">
        <f>L10-K10+1</f>
        <v>1</v>
      </c>
    </row>
    <row r="11" spans="1:13" ht="21.95" customHeight="1" x14ac:dyDescent="0.25">
      <c r="A11" s="27" t="s">
        <v>41</v>
      </c>
      <c r="B11" s="28" t="s">
        <v>42</v>
      </c>
      <c r="C11" s="27" t="s">
        <v>317</v>
      </c>
      <c r="D11" s="29" t="s">
        <v>318</v>
      </c>
      <c r="E11" s="28" t="s">
        <v>295</v>
      </c>
      <c r="F11" s="30" t="s">
        <v>288</v>
      </c>
      <c r="G11" s="30" t="s">
        <v>290</v>
      </c>
      <c r="H11" s="30" t="s">
        <v>291</v>
      </c>
      <c r="I11" s="30" t="s">
        <v>319</v>
      </c>
      <c r="J11" s="30" t="s">
        <v>320</v>
      </c>
      <c r="K11" s="51">
        <v>46201</v>
      </c>
      <c r="L11" s="51">
        <v>46201</v>
      </c>
      <c r="M11" s="27">
        <f>L11-K11+1</f>
        <v>1</v>
      </c>
    </row>
    <row r="12" spans="1:13" ht="21.95" customHeight="1" x14ac:dyDescent="0.25">
      <c r="A12" s="15" t="s">
        <v>41</v>
      </c>
      <c r="B12" s="31" t="s">
        <v>42</v>
      </c>
      <c r="C12" s="15" t="s">
        <v>321</v>
      </c>
      <c r="D12" s="17" t="s">
        <v>322</v>
      </c>
      <c r="E12" s="31" t="s">
        <v>295</v>
      </c>
      <c r="F12" s="18" t="s">
        <v>288</v>
      </c>
      <c r="G12" s="18" t="s">
        <v>290</v>
      </c>
      <c r="H12" s="18" t="s">
        <v>291</v>
      </c>
      <c r="I12" s="18" t="s">
        <v>323</v>
      </c>
      <c r="J12" s="18" t="s">
        <v>324</v>
      </c>
      <c r="K12" s="50">
        <v>46202</v>
      </c>
      <c r="L12" s="50">
        <v>46202</v>
      </c>
      <c r="M12" s="15">
        <f>L12-K12+1</f>
        <v>1</v>
      </c>
    </row>
    <row r="13" spans="1:13" ht="21.95" customHeight="1" x14ac:dyDescent="0.25">
      <c r="A13" s="15" t="s">
        <v>41</v>
      </c>
      <c r="B13" s="31" t="s">
        <v>42</v>
      </c>
      <c r="C13" s="15" t="s">
        <v>325</v>
      </c>
      <c r="D13" s="17" t="s">
        <v>326</v>
      </c>
      <c r="E13" s="31" t="s">
        <v>327</v>
      </c>
      <c r="F13" s="18" t="s">
        <v>288</v>
      </c>
      <c r="G13" s="18" t="s">
        <v>290</v>
      </c>
      <c r="H13" s="18" t="s">
        <v>291</v>
      </c>
      <c r="I13" s="18" t="s">
        <v>328</v>
      </c>
      <c r="J13" s="18" t="s">
        <v>329</v>
      </c>
      <c r="K13" s="50">
        <v>46209</v>
      </c>
      <c r="L13" s="50">
        <v>46209</v>
      </c>
      <c r="M13" s="15">
        <f>L13-K13+1</f>
        <v>1</v>
      </c>
    </row>
    <row r="14" spans="1:13" ht="21.95" customHeight="1" x14ac:dyDescent="0.25">
      <c r="A14" s="15" t="s">
        <v>41</v>
      </c>
      <c r="B14" s="31" t="s">
        <v>42</v>
      </c>
      <c r="C14" s="15" t="s">
        <v>330</v>
      </c>
      <c r="D14" s="17" t="s">
        <v>331</v>
      </c>
      <c r="E14" s="31" t="s">
        <v>332</v>
      </c>
      <c r="F14" s="18" t="s">
        <v>288</v>
      </c>
      <c r="G14" s="18" t="s">
        <v>290</v>
      </c>
      <c r="H14" s="18" t="s">
        <v>291</v>
      </c>
      <c r="I14" s="18" t="s">
        <v>333</v>
      </c>
      <c r="J14" s="18" t="s">
        <v>334</v>
      </c>
      <c r="K14" s="50">
        <v>46213</v>
      </c>
      <c r="L14" s="50">
        <v>46213</v>
      </c>
      <c r="M14" s="15">
        <f>L14-K14+1</f>
        <v>1</v>
      </c>
    </row>
    <row r="15" spans="1:13" ht="21.95" customHeight="1" x14ac:dyDescent="0.25">
      <c r="A15" s="15" t="s">
        <v>41</v>
      </c>
      <c r="B15" s="31" t="s">
        <v>42</v>
      </c>
      <c r="C15" s="15" t="s">
        <v>335</v>
      </c>
      <c r="D15" s="17" t="s">
        <v>336</v>
      </c>
      <c r="E15" s="31" t="s">
        <v>337</v>
      </c>
      <c r="F15" s="18" t="s">
        <v>288</v>
      </c>
      <c r="G15" s="18" t="s">
        <v>290</v>
      </c>
      <c r="H15" s="18" t="s">
        <v>291</v>
      </c>
      <c r="I15" s="18" t="s">
        <v>338</v>
      </c>
      <c r="J15" s="18" t="s">
        <v>339</v>
      </c>
      <c r="K15" s="50">
        <v>46244</v>
      </c>
      <c r="L15" s="50">
        <v>46244</v>
      </c>
      <c r="M15" s="15">
        <f>L15-K15+1</f>
        <v>1</v>
      </c>
    </row>
    <row r="16" spans="1:13" ht="21.95" customHeight="1" x14ac:dyDescent="0.25">
      <c r="A16" s="15" t="s">
        <v>41</v>
      </c>
      <c r="B16" s="31" t="s">
        <v>42</v>
      </c>
      <c r="C16" s="15" t="s">
        <v>340</v>
      </c>
      <c r="D16" s="17" t="s">
        <v>341</v>
      </c>
      <c r="E16" s="31" t="s">
        <v>342</v>
      </c>
      <c r="F16" s="18" t="s">
        <v>288</v>
      </c>
      <c r="G16" s="18" t="s">
        <v>290</v>
      </c>
      <c r="H16" s="18" t="s">
        <v>291</v>
      </c>
      <c r="I16" s="18" t="s">
        <v>343</v>
      </c>
      <c r="J16" s="18" t="s">
        <v>344</v>
      </c>
      <c r="K16" s="50">
        <v>46248</v>
      </c>
      <c r="L16" s="50">
        <v>46248</v>
      </c>
      <c r="M16" s="15">
        <f>L16-K16+1</f>
        <v>1</v>
      </c>
    </row>
    <row r="17" spans="1:13" ht="21.95" customHeight="1" x14ac:dyDescent="0.25">
      <c r="A17" s="15" t="s">
        <v>41</v>
      </c>
      <c r="B17" s="31" t="s">
        <v>42</v>
      </c>
      <c r="C17" s="15" t="s">
        <v>345</v>
      </c>
      <c r="D17" s="17" t="s">
        <v>346</v>
      </c>
      <c r="E17" s="31" t="s">
        <v>347</v>
      </c>
      <c r="F17" s="18" t="s">
        <v>288</v>
      </c>
      <c r="G17" s="18" t="s">
        <v>290</v>
      </c>
      <c r="H17" s="18" t="s">
        <v>291</v>
      </c>
      <c r="I17" s="18" t="s">
        <v>348</v>
      </c>
      <c r="J17" s="18" t="s">
        <v>349</v>
      </c>
      <c r="K17" s="50">
        <v>46248</v>
      </c>
      <c r="L17" s="50">
        <v>46248</v>
      </c>
      <c r="M17" s="15">
        <f>L17-K17+1</f>
        <v>1</v>
      </c>
    </row>
    <row r="18" spans="1:13" ht="21.95" customHeight="1" x14ac:dyDescent="0.25">
      <c r="A18" s="15" t="s">
        <v>41</v>
      </c>
      <c r="B18" s="31" t="s">
        <v>42</v>
      </c>
      <c r="C18" s="15" t="s">
        <v>350</v>
      </c>
      <c r="D18" s="17" t="s">
        <v>351</v>
      </c>
      <c r="E18" s="31" t="s">
        <v>352</v>
      </c>
      <c r="F18" s="18" t="s">
        <v>288</v>
      </c>
      <c r="G18" s="18" t="s">
        <v>290</v>
      </c>
      <c r="H18" s="18" t="s">
        <v>291</v>
      </c>
      <c r="I18" s="18" t="s">
        <v>353</v>
      </c>
      <c r="J18" s="18" t="s">
        <v>354</v>
      </c>
      <c r="K18" s="50">
        <v>46248</v>
      </c>
      <c r="L18" s="50">
        <v>46248</v>
      </c>
      <c r="M18" s="15">
        <f>L18-K18+1</f>
        <v>1</v>
      </c>
    </row>
    <row r="19" spans="1:13" ht="21.95" customHeight="1" x14ac:dyDescent="0.25">
      <c r="A19" s="15" t="s">
        <v>41</v>
      </c>
      <c r="B19" s="31" t="s">
        <v>42</v>
      </c>
      <c r="C19" s="15" t="s">
        <v>355</v>
      </c>
      <c r="D19" s="17" t="s">
        <v>356</v>
      </c>
      <c r="E19" s="31" t="s">
        <v>357</v>
      </c>
      <c r="F19" s="18" t="s">
        <v>288</v>
      </c>
      <c r="G19" s="18" t="s">
        <v>290</v>
      </c>
      <c r="H19" s="18" t="s">
        <v>291</v>
      </c>
      <c r="I19" s="18" t="s">
        <v>358</v>
      </c>
      <c r="J19" s="18" t="s">
        <v>359</v>
      </c>
      <c r="K19" s="50">
        <v>46264</v>
      </c>
      <c r="L19" s="50">
        <v>46264</v>
      </c>
      <c r="M19" s="15">
        <f>L19-K19+1</f>
        <v>1</v>
      </c>
    </row>
    <row r="20" spans="1:13" ht="21.95" customHeight="1" x14ac:dyDescent="0.25">
      <c r="A20" s="15" t="s">
        <v>41</v>
      </c>
      <c r="B20" s="31" t="s">
        <v>42</v>
      </c>
      <c r="C20" s="15" t="s">
        <v>360</v>
      </c>
      <c r="D20" s="17" t="s">
        <v>361</v>
      </c>
      <c r="E20" s="31" t="s">
        <v>362</v>
      </c>
      <c r="F20" s="18" t="s">
        <v>288</v>
      </c>
      <c r="G20" s="18" t="s">
        <v>290</v>
      </c>
      <c r="H20" s="18" t="s">
        <v>291</v>
      </c>
      <c r="I20" s="18" t="s">
        <v>363</v>
      </c>
      <c r="J20" s="18" t="s">
        <v>364</v>
      </c>
      <c r="K20" s="50">
        <v>46269</v>
      </c>
      <c r="L20" s="50">
        <v>46269</v>
      </c>
      <c r="M20" s="15">
        <f>L20-K20+1</f>
        <v>1</v>
      </c>
    </row>
    <row r="21" spans="1:13" ht="21.95" customHeight="1" x14ac:dyDescent="0.25">
      <c r="A21" s="32" t="s">
        <v>45</v>
      </c>
      <c r="B21" s="33" t="s">
        <v>46</v>
      </c>
      <c r="C21" s="32" t="s">
        <v>365</v>
      </c>
      <c r="D21" s="34" t="s">
        <v>366</v>
      </c>
      <c r="E21" s="33" t="s">
        <v>367</v>
      </c>
      <c r="F21" s="35" t="s">
        <v>288</v>
      </c>
      <c r="G21" s="35" t="s">
        <v>290</v>
      </c>
      <c r="H21" s="35" t="s">
        <v>291</v>
      </c>
      <c r="I21" s="35" t="s">
        <v>368</v>
      </c>
      <c r="J21" s="35" t="s">
        <v>369</v>
      </c>
      <c r="K21" s="52">
        <v>46208</v>
      </c>
      <c r="L21" s="52">
        <v>46208</v>
      </c>
      <c r="M21" s="32">
        <f>L21-K21+1</f>
        <v>1</v>
      </c>
    </row>
    <row r="22" spans="1:13" ht="21.95" customHeight="1" x14ac:dyDescent="0.25">
      <c r="A22" s="8" t="s">
        <v>45</v>
      </c>
      <c r="B22" s="26" t="s">
        <v>46</v>
      </c>
      <c r="C22" s="8" t="s">
        <v>370</v>
      </c>
      <c r="D22" s="10" t="s">
        <v>371</v>
      </c>
      <c r="E22" s="26" t="s">
        <v>372</v>
      </c>
      <c r="F22" s="11" t="s">
        <v>288</v>
      </c>
      <c r="G22" s="11" t="s">
        <v>290</v>
      </c>
      <c r="H22" s="11" t="s">
        <v>291</v>
      </c>
      <c r="I22" s="11" t="s">
        <v>373</v>
      </c>
      <c r="J22" s="11" t="s">
        <v>374</v>
      </c>
      <c r="K22" s="49">
        <v>46216</v>
      </c>
      <c r="L22" s="49">
        <v>46216</v>
      </c>
      <c r="M22" s="8">
        <f>L22-K22+1</f>
        <v>1</v>
      </c>
    </row>
    <row r="23" spans="1:13" ht="21.95" customHeight="1" x14ac:dyDescent="0.25">
      <c r="A23" s="8" t="s">
        <v>45</v>
      </c>
      <c r="B23" s="26" t="s">
        <v>46</v>
      </c>
      <c r="C23" s="8" t="s">
        <v>375</v>
      </c>
      <c r="D23" s="10" t="s">
        <v>376</v>
      </c>
      <c r="E23" s="26" t="s">
        <v>377</v>
      </c>
      <c r="F23" s="11" t="s">
        <v>288</v>
      </c>
      <c r="G23" s="11" t="s">
        <v>290</v>
      </c>
      <c r="H23" s="11" t="s">
        <v>291</v>
      </c>
      <c r="I23" s="11" t="s">
        <v>378</v>
      </c>
      <c r="J23" s="11" t="s">
        <v>379</v>
      </c>
      <c r="K23" s="49">
        <v>46247</v>
      </c>
      <c r="L23" s="49">
        <v>46247</v>
      </c>
      <c r="M23" s="8">
        <f>L23-K23+1</f>
        <v>1</v>
      </c>
    </row>
    <row r="24" spans="1:13" ht="21.95" customHeight="1" x14ac:dyDescent="0.25">
      <c r="A24" s="8" t="s">
        <v>45</v>
      </c>
      <c r="B24" s="26" t="s">
        <v>46</v>
      </c>
      <c r="C24" s="8" t="s">
        <v>380</v>
      </c>
      <c r="D24" s="10" t="s">
        <v>381</v>
      </c>
      <c r="E24" s="26" t="s">
        <v>382</v>
      </c>
      <c r="F24" s="11" t="s">
        <v>288</v>
      </c>
      <c r="G24" s="11" t="s">
        <v>290</v>
      </c>
      <c r="H24" s="11" t="s">
        <v>291</v>
      </c>
      <c r="I24" s="11" t="s">
        <v>383</v>
      </c>
      <c r="J24" s="11" t="s">
        <v>384</v>
      </c>
      <c r="K24" s="49">
        <v>46257</v>
      </c>
      <c r="L24" s="49">
        <v>46258</v>
      </c>
      <c r="M24" s="8">
        <f>L24-K24+1</f>
        <v>2</v>
      </c>
    </row>
    <row r="25" spans="1:13" ht="21.95" customHeight="1" x14ac:dyDescent="0.25">
      <c r="A25" s="8" t="s">
        <v>45</v>
      </c>
      <c r="B25" s="26" t="s">
        <v>46</v>
      </c>
      <c r="C25" s="8" t="s">
        <v>385</v>
      </c>
      <c r="D25" s="10" t="s">
        <v>386</v>
      </c>
      <c r="E25" s="26" t="s">
        <v>387</v>
      </c>
      <c r="F25" s="11" t="s">
        <v>288</v>
      </c>
      <c r="G25" s="11" t="s">
        <v>290</v>
      </c>
      <c r="H25" s="11" t="s">
        <v>291</v>
      </c>
      <c r="I25" s="11" t="s">
        <v>388</v>
      </c>
      <c r="J25" s="11" t="s">
        <v>389</v>
      </c>
      <c r="K25" s="49">
        <v>46260</v>
      </c>
      <c r="L25" s="49">
        <v>46261</v>
      </c>
      <c r="M25" s="8">
        <f>L25-K25+1</f>
        <v>2</v>
      </c>
    </row>
    <row r="26" spans="1:13" ht="21.95" customHeight="1" x14ac:dyDescent="0.25">
      <c r="A26" s="8" t="s">
        <v>45</v>
      </c>
      <c r="B26" s="26" t="s">
        <v>46</v>
      </c>
      <c r="C26" s="8" t="s">
        <v>390</v>
      </c>
      <c r="D26" s="10" t="s">
        <v>391</v>
      </c>
      <c r="E26" s="26" t="s">
        <v>392</v>
      </c>
      <c r="F26" s="11" t="s">
        <v>288</v>
      </c>
      <c r="G26" s="11" t="s">
        <v>290</v>
      </c>
      <c r="H26" s="11" t="s">
        <v>291</v>
      </c>
      <c r="I26" s="11" t="s">
        <v>393</v>
      </c>
      <c r="J26" s="11" t="s">
        <v>394</v>
      </c>
      <c r="K26" s="49">
        <v>46264</v>
      </c>
      <c r="L26" s="49">
        <v>46264</v>
      </c>
      <c r="M26" s="8">
        <f>L26-K26+1</f>
        <v>1</v>
      </c>
    </row>
    <row r="27" spans="1:13" ht="21.95" customHeight="1" x14ac:dyDescent="0.25">
      <c r="A27" s="27" t="s">
        <v>49</v>
      </c>
      <c r="B27" s="28" t="s">
        <v>50</v>
      </c>
      <c r="C27" s="27" t="s">
        <v>395</v>
      </c>
      <c r="D27" s="29" t="s">
        <v>396</v>
      </c>
      <c r="E27" s="28" t="s">
        <v>397</v>
      </c>
      <c r="F27" s="30" t="s">
        <v>288</v>
      </c>
      <c r="G27" s="30" t="s">
        <v>290</v>
      </c>
      <c r="H27" s="30" t="s">
        <v>291</v>
      </c>
      <c r="I27" s="30" t="s">
        <v>398</v>
      </c>
      <c r="J27" s="30" t="s">
        <v>399</v>
      </c>
      <c r="K27" s="51">
        <v>46216</v>
      </c>
      <c r="L27" s="51">
        <v>46216</v>
      </c>
      <c r="M27" s="27">
        <f>L27-K27+1</f>
        <v>1</v>
      </c>
    </row>
    <row r="28" spans="1:13" ht="21.95" customHeight="1" x14ac:dyDescent="0.25">
      <c r="A28" s="15" t="s">
        <v>49</v>
      </c>
      <c r="B28" s="31" t="s">
        <v>50</v>
      </c>
      <c r="C28" s="15" t="s">
        <v>400</v>
      </c>
      <c r="D28" s="17" t="s">
        <v>401</v>
      </c>
      <c r="E28" s="31" t="s">
        <v>402</v>
      </c>
      <c r="F28" s="18" t="s">
        <v>288</v>
      </c>
      <c r="G28" s="18" t="s">
        <v>290</v>
      </c>
      <c r="H28" s="18" t="s">
        <v>291</v>
      </c>
      <c r="I28" s="18" t="s">
        <v>403</v>
      </c>
      <c r="J28" s="18" t="s">
        <v>404</v>
      </c>
      <c r="K28" s="50">
        <v>46216</v>
      </c>
      <c r="L28" s="50">
        <v>46216</v>
      </c>
      <c r="M28" s="15">
        <f>L28-K28+1</f>
        <v>1</v>
      </c>
    </row>
    <row r="29" spans="1:13" ht="21.95" customHeight="1" x14ac:dyDescent="0.25">
      <c r="A29" s="15" t="s">
        <v>49</v>
      </c>
      <c r="B29" s="31" t="s">
        <v>50</v>
      </c>
      <c r="C29" s="15" t="s">
        <v>405</v>
      </c>
      <c r="D29" s="17" t="s">
        <v>406</v>
      </c>
      <c r="E29" s="31" t="s">
        <v>407</v>
      </c>
      <c r="F29" s="18" t="s">
        <v>288</v>
      </c>
      <c r="G29" s="18" t="s">
        <v>290</v>
      </c>
      <c r="H29" s="18" t="s">
        <v>291</v>
      </c>
      <c r="I29" s="18" t="s">
        <v>408</v>
      </c>
      <c r="J29" s="18" t="s">
        <v>409</v>
      </c>
      <c r="K29" s="50">
        <v>46218</v>
      </c>
      <c r="L29" s="50">
        <v>46218</v>
      </c>
      <c r="M29" s="15">
        <f>L29-K29+1</f>
        <v>1</v>
      </c>
    </row>
    <row r="30" spans="1:13" ht="21.95" customHeight="1" x14ac:dyDescent="0.25">
      <c r="A30" s="15" t="s">
        <v>49</v>
      </c>
      <c r="B30" s="31" t="s">
        <v>50</v>
      </c>
      <c r="C30" s="15" t="s">
        <v>410</v>
      </c>
      <c r="D30" s="17" t="s">
        <v>411</v>
      </c>
      <c r="E30" s="31" t="s">
        <v>412</v>
      </c>
      <c r="F30" s="18" t="s">
        <v>288</v>
      </c>
      <c r="G30" s="18" t="s">
        <v>290</v>
      </c>
      <c r="H30" s="18" t="s">
        <v>291</v>
      </c>
      <c r="I30" s="18" t="s">
        <v>413</v>
      </c>
      <c r="J30" s="18" t="s">
        <v>414</v>
      </c>
      <c r="K30" s="50">
        <v>46245</v>
      </c>
      <c r="L30" s="50">
        <v>46247</v>
      </c>
      <c r="M30" s="15">
        <f>L30-K30+1</f>
        <v>3</v>
      </c>
    </row>
    <row r="31" spans="1:13" ht="21.95" customHeight="1" x14ac:dyDescent="0.25">
      <c r="A31" s="15" t="s">
        <v>49</v>
      </c>
      <c r="B31" s="31" t="s">
        <v>50</v>
      </c>
      <c r="C31" s="15" t="s">
        <v>415</v>
      </c>
      <c r="D31" s="17" t="s">
        <v>416</v>
      </c>
      <c r="E31" s="31" t="s">
        <v>417</v>
      </c>
      <c r="F31" s="18" t="s">
        <v>288</v>
      </c>
      <c r="G31" s="18" t="s">
        <v>290</v>
      </c>
      <c r="H31" s="18" t="s">
        <v>291</v>
      </c>
      <c r="I31" s="18" t="s">
        <v>418</v>
      </c>
      <c r="J31" s="18" t="s">
        <v>419</v>
      </c>
      <c r="K31" s="50">
        <v>46263</v>
      </c>
      <c r="L31" s="50">
        <v>46264</v>
      </c>
      <c r="M31" s="15">
        <f>L31-K31+1</f>
        <v>2</v>
      </c>
    </row>
    <row r="32" spans="1:13" ht="21.95" customHeight="1" x14ac:dyDescent="0.25">
      <c r="A32" s="32" t="s">
        <v>53</v>
      </c>
      <c r="B32" s="33" t="s">
        <v>54</v>
      </c>
      <c r="C32" s="32" t="s">
        <v>420</v>
      </c>
      <c r="D32" s="34" t="s">
        <v>421</v>
      </c>
      <c r="E32" s="33" t="s">
        <v>422</v>
      </c>
      <c r="F32" s="35" t="s">
        <v>288</v>
      </c>
      <c r="G32" s="35" t="s">
        <v>290</v>
      </c>
      <c r="H32" s="35" t="s">
        <v>291</v>
      </c>
      <c r="I32" s="35" t="s">
        <v>423</v>
      </c>
      <c r="J32" s="35" t="s">
        <v>424</v>
      </c>
      <c r="K32" s="52">
        <v>46234</v>
      </c>
      <c r="L32" s="52">
        <v>46241</v>
      </c>
      <c r="M32" s="32">
        <f>L32-K32+1</f>
        <v>8</v>
      </c>
    </row>
    <row r="33" spans="1:13" ht="21.95" customHeight="1" x14ac:dyDescent="0.25">
      <c r="A33" s="8" t="s">
        <v>53</v>
      </c>
      <c r="B33" s="26" t="s">
        <v>54</v>
      </c>
      <c r="C33" s="8" t="s">
        <v>425</v>
      </c>
      <c r="D33" s="10" t="s">
        <v>426</v>
      </c>
      <c r="E33" s="26" t="s">
        <v>427</v>
      </c>
      <c r="F33" s="11" t="s">
        <v>288</v>
      </c>
      <c r="G33" s="11" t="s">
        <v>290</v>
      </c>
      <c r="H33" s="11" t="s">
        <v>291</v>
      </c>
      <c r="I33" s="11" t="s">
        <v>428</v>
      </c>
      <c r="J33" s="11" t="s">
        <v>429</v>
      </c>
      <c r="K33" s="49">
        <v>46243</v>
      </c>
      <c r="L33" s="49">
        <v>46243</v>
      </c>
      <c r="M33" s="8">
        <f>L33-K33+1</f>
        <v>1</v>
      </c>
    </row>
    <row r="34" spans="1:13" ht="21.95" customHeight="1" x14ac:dyDescent="0.25">
      <c r="A34" s="8" t="s">
        <v>53</v>
      </c>
      <c r="B34" s="26" t="s">
        <v>54</v>
      </c>
      <c r="C34" s="8" t="s">
        <v>430</v>
      </c>
      <c r="D34" s="10" t="s">
        <v>431</v>
      </c>
      <c r="E34" s="26" t="s">
        <v>422</v>
      </c>
      <c r="F34" s="11" t="s">
        <v>288</v>
      </c>
      <c r="G34" s="11" t="s">
        <v>290</v>
      </c>
      <c r="H34" s="11" t="s">
        <v>291</v>
      </c>
      <c r="I34" s="11" t="s">
        <v>432</v>
      </c>
      <c r="J34" s="11" t="s">
        <v>433</v>
      </c>
      <c r="K34" s="49">
        <v>46267</v>
      </c>
      <c r="L34" s="49">
        <v>46268</v>
      </c>
      <c r="M34" s="8">
        <f>L34-K34+1</f>
        <v>2</v>
      </c>
    </row>
    <row r="35" spans="1:13" ht="21.95" customHeight="1" x14ac:dyDescent="0.25">
      <c r="A35" s="27" t="s">
        <v>57</v>
      </c>
      <c r="B35" s="28" t="s">
        <v>58</v>
      </c>
      <c r="C35" s="27" t="s">
        <v>434</v>
      </c>
      <c r="D35" s="29" t="s">
        <v>435</v>
      </c>
      <c r="E35" s="28" t="s">
        <v>436</v>
      </c>
      <c r="F35" s="30" t="s">
        <v>288</v>
      </c>
      <c r="G35" s="30" t="s">
        <v>290</v>
      </c>
      <c r="H35" s="30" t="s">
        <v>291</v>
      </c>
      <c r="I35" s="30" t="s">
        <v>437</v>
      </c>
      <c r="J35" s="30" t="s">
        <v>438</v>
      </c>
      <c r="K35" s="51">
        <v>46241</v>
      </c>
      <c r="L35" s="51">
        <v>46242</v>
      </c>
      <c r="M35" s="27">
        <f>L35-K35+1</f>
        <v>2</v>
      </c>
    </row>
    <row r="36" spans="1:13" ht="21.95" customHeight="1" x14ac:dyDescent="0.25">
      <c r="A36" s="15" t="s">
        <v>57</v>
      </c>
      <c r="B36" s="31" t="s">
        <v>58</v>
      </c>
      <c r="C36" s="15" t="s">
        <v>439</v>
      </c>
      <c r="D36" s="17" t="s">
        <v>440</v>
      </c>
      <c r="E36" s="31" t="s">
        <v>441</v>
      </c>
      <c r="F36" s="18" t="s">
        <v>288</v>
      </c>
      <c r="G36" s="18" t="s">
        <v>290</v>
      </c>
      <c r="H36" s="18" t="s">
        <v>291</v>
      </c>
      <c r="I36" s="18" t="s">
        <v>442</v>
      </c>
      <c r="J36" s="18" t="s">
        <v>443</v>
      </c>
      <c r="K36" s="50">
        <v>46268</v>
      </c>
      <c r="L36" s="50">
        <v>46268</v>
      </c>
      <c r="M36" s="15">
        <f>L36-K36+1</f>
        <v>1</v>
      </c>
    </row>
    <row r="37" spans="1:13" ht="21.95" customHeight="1" x14ac:dyDescent="0.25">
      <c r="A37" s="32" t="s">
        <v>61</v>
      </c>
      <c r="B37" s="33" t="s">
        <v>62</v>
      </c>
      <c r="C37" s="32" t="s">
        <v>444</v>
      </c>
      <c r="D37" s="34" t="s">
        <v>445</v>
      </c>
      <c r="E37" s="33" t="s">
        <v>446</v>
      </c>
      <c r="F37" s="35" t="s">
        <v>288</v>
      </c>
      <c r="G37" s="35" t="s">
        <v>290</v>
      </c>
      <c r="H37" s="35" t="s">
        <v>291</v>
      </c>
      <c r="I37" s="35" t="s">
        <v>447</v>
      </c>
      <c r="J37" s="35" t="s">
        <v>448</v>
      </c>
      <c r="K37" s="52">
        <v>46243</v>
      </c>
      <c r="L37" s="52">
        <v>46243</v>
      </c>
      <c r="M37" s="32">
        <f>L37-K37+1</f>
        <v>1</v>
      </c>
    </row>
    <row r="38" spans="1:13" ht="21.95" customHeight="1" x14ac:dyDescent="0.25">
      <c r="A38" s="8" t="s">
        <v>61</v>
      </c>
      <c r="B38" s="26" t="s">
        <v>62</v>
      </c>
      <c r="C38" s="8" t="s">
        <v>449</v>
      </c>
      <c r="D38" s="10" t="s">
        <v>450</v>
      </c>
      <c r="E38" s="26" t="s">
        <v>451</v>
      </c>
      <c r="F38" s="11" t="s">
        <v>288</v>
      </c>
      <c r="G38" s="11" t="s">
        <v>290</v>
      </c>
      <c r="H38" s="11" t="s">
        <v>291</v>
      </c>
      <c r="I38" s="11" t="s">
        <v>452</v>
      </c>
      <c r="J38" s="11" t="s">
        <v>453</v>
      </c>
      <c r="K38" s="49">
        <v>46264</v>
      </c>
      <c r="L38" s="49">
        <v>46264</v>
      </c>
      <c r="M38" s="8">
        <f>L38-K38+1</f>
        <v>1</v>
      </c>
    </row>
    <row r="39" spans="1:13" ht="21.95" customHeight="1" x14ac:dyDescent="0.25">
      <c r="A39" s="8" t="s">
        <v>61</v>
      </c>
      <c r="B39" s="26" t="s">
        <v>62</v>
      </c>
      <c r="C39" s="8" t="s">
        <v>454</v>
      </c>
      <c r="D39" s="10" t="s">
        <v>455</v>
      </c>
      <c r="E39" s="26" t="s">
        <v>456</v>
      </c>
      <c r="F39" s="11" t="s">
        <v>288</v>
      </c>
      <c r="G39" s="11" t="s">
        <v>290</v>
      </c>
      <c r="H39" s="11" t="s">
        <v>291</v>
      </c>
      <c r="I39" s="11" t="s">
        <v>457</v>
      </c>
      <c r="J39" s="11" t="s">
        <v>457</v>
      </c>
      <c r="K39" s="49">
        <v>46266</v>
      </c>
      <c r="L39" s="49">
        <v>46266</v>
      </c>
      <c r="M39" s="8">
        <f>L39-K39+1</f>
        <v>1</v>
      </c>
    </row>
    <row r="40" spans="1:13" ht="21.95" customHeight="1" x14ac:dyDescent="0.25">
      <c r="A40" s="8" t="s">
        <v>61</v>
      </c>
      <c r="B40" s="26" t="s">
        <v>62</v>
      </c>
      <c r="C40" s="8" t="s">
        <v>458</v>
      </c>
      <c r="D40" s="10" t="s">
        <v>459</v>
      </c>
      <c r="E40" s="26" t="s">
        <v>460</v>
      </c>
      <c r="F40" s="11" t="s">
        <v>288</v>
      </c>
      <c r="G40" s="11" t="s">
        <v>290</v>
      </c>
      <c r="H40" s="11" t="s">
        <v>291</v>
      </c>
      <c r="I40" s="11" t="s">
        <v>461</v>
      </c>
      <c r="J40" s="11" t="s">
        <v>462</v>
      </c>
      <c r="K40" s="49">
        <v>46267</v>
      </c>
      <c r="L40" s="49">
        <v>46267</v>
      </c>
      <c r="M40" s="8">
        <f>L40-K40+1</f>
        <v>1</v>
      </c>
    </row>
    <row r="41" spans="1:13" ht="21.95" customHeight="1" x14ac:dyDescent="0.25">
      <c r="A41" s="27" t="s">
        <v>65</v>
      </c>
      <c r="B41" s="28" t="s">
        <v>66</v>
      </c>
      <c r="C41" s="27" t="s">
        <v>68</v>
      </c>
      <c r="D41" s="29" t="s">
        <v>463</v>
      </c>
      <c r="E41" s="28" t="s">
        <v>464</v>
      </c>
      <c r="F41" s="30" t="s">
        <v>288</v>
      </c>
      <c r="G41" s="30" t="s">
        <v>290</v>
      </c>
      <c r="H41" s="30" t="s">
        <v>291</v>
      </c>
      <c r="I41" s="30" t="s">
        <v>465</v>
      </c>
      <c r="J41" s="30" t="s">
        <v>466</v>
      </c>
      <c r="K41" s="51">
        <v>46271</v>
      </c>
      <c r="L41" s="51">
        <v>46271</v>
      </c>
      <c r="M41" s="27">
        <f>L41-K41+1</f>
        <v>1</v>
      </c>
    </row>
    <row r="42" spans="1:13" ht="21.95" customHeight="1" x14ac:dyDescent="0.25">
      <c r="A42" s="32" t="s">
        <v>69</v>
      </c>
      <c r="B42" s="33" t="s">
        <v>70</v>
      </c>
      <c r="C42" s="32" t="s">
        <v>72</v>
      </c>
      <c r="D42" s="34" t="s">
        <v>467</v>
      </c>
      <c r="E42" s="33" t="s">
        <v>468</v>
      </c>
      <c r="F42" s="35" t="s">
        <v>288</v>
      </c>
      <c r="G42" s="35" t="s">
        <v>290</v>
      </c>
      <c r="H42" s="35" t="s">
        <v>291</v>
      </c>
      <c r="I42" s="35" t="s">
        <v>469</v>
      </c>
      <c r="J42" s="35" t="s">
        <v>470</v>
      </c>
      <c r="K42" s="52">
        <v>46272</v>
      </c>
      <c r="L42" s="52">
        <v>46273</v>
      </c>
      <c r="M42" s="32">
        <f>L42-K42+1</f>
        <v>2</v>
      </c>
    </row>
    <row r="43" spans="1:13" ht="21.95" customHeight="1" x14ac:dyDescent="0.25">
      <c r="A43" s="27" t="s">
        <v>73</v>
      </c>
      <c r="B43" s="28" t="s">
        <v>74</v>
      </c>
      <c r="C43" s="27" t="s">
        <v>76</v>
      </c>
      <c r="D43" s="29" t="s">
        <v>471</v>
      </c>
      <c r="E43" s="28" t="s">
        <v>472</v>
      </c>
      <c r="F43" s="30" t="s">
        <v>288</v>
      </c>
      <c r="G43" s="30" t="s">
        <v>290</v>
      </c>
      <c r="H43" s="30" t="s">
        <v>291</v>
      </c>
      <c r="I43" s="30" t="s">
        <v>473</v>
      </c>
      <c r="J43" s="30" t="s">
        <v>474</v>
      </c>
      <c r="K43" s="51">
        <v>46275</v>
      </c>
      <c r="L43" s="51">
        <v>46277</v>
      </c>
      <c r="M43" s="27">
        <f>L43-K43+1</f>
        <v>3</v>
      </c>
    </row>
    <row r="44" spans="1:13" ht="21.95" customHeight="1" x14ac:dyDescent="0.25">
      <c r="A44" s="32" t="s">
        <v>77</v>
      </c>
      <c r="B44" s="33" t="s">
        <v>78</v>
      </c>
      <c r="C44" s="32" t="s">
        <v>475</v>
      </c>
      <c r="D44" s="34" t="s">
        <v>476</v>
      </c>
      <c r="E44" s="33" t="s">
        <v>477</v>
      </c>
      <c r="F44" s="35" t="s">
        <v>288</v>
      </c>
      <c r="G44" s="35" t="s">
        <v>290</v>
      </c>
      <c r="H44" s="35" t="s">
        <v>291</v>
      </c>
      <c r="I44" s="35" t="s">
        <v>478</v>
      </c>
      <c r="J44" s="35" t="s">
        <v>479</v>
      </c>
      <c r="K44" s="52">
        <v>46282</v>
      </c>
      <c r="L44" s="52">
        <v>46282</v>
      </c>
      <c r="M44" s="32">
        <f>L44-K44+1</f>
        <v>1</v>
      </c>
    </row>
    <row r="45" spans="1:13" ht="21.95" customHeight="1" x14ac:dyDescent="0.25">
      <c r="A45" s="8" t="s">
        <v>77</v>
      </c>
      <c r="B45" s="26" t="s">
        <v>78</v>
      </c>
      <c r="C45" s="8" t="s">
        <v>480</v>
      </c>
      <c r="D45" s="10" t="s">
        <v>481</v>
      </c>
      <c r="E45" s="26" t="s">
        <v>482</v>
      </c>
      <c r="F45" s="11" t="s">
        <v>288</v>
      </c>
      <c r="G45" s="11" t="s">
        <v>290</v>
      </c>
      <c r="H45" s="11" t="s">
        <v>291</v>
      </c>
      <c r="I45" s="11" t="s">
        <v>483</v>
      </c>
      <c r="J45" s="11" t="s">
        <v>484</v>
      </c>
      <c r="K45" s="49">
        <v>46286</v>
      </c>
      <c r="L45" s="49">
        <v>46286</v>
      </c>
      <c r="M45" s="8">
        <f>L45-K45+1</f>
        <v>1</v>
      </c>
    </row>
    <row r="46" spans="1:13" ht="21.95" customHeight="1" x14ac:dyDescent="0.25">
      <c r="A46" s="27" t="s">
        <v>82</v>
      </c>
      <c r="B46" s="28" t="s">
        <v>83</v>
      </c>
      <c r="C46" s="27" t="s">
        <v>85</v>
      </c>
      <c r="D46" s="29" t="s">
        <v>485</v>
      </c>
      <c r="E46" s="28" t="s">
        <v>486</v>
      </c>
      <c r="F46" s="30" t="s">
        <v>288</v>
      </c>
      <c r="G46" s="30" t="s">
        <v>290</v>
      </c>
      <c r="H46" s="30" t="s">
        <v>291</v>
      </c>
      <c r="I46" s="30" t="s">
        <v>487</v>
      </c>
      <c r="J46" s="30" t="s">
        <v>488</v>
      </c>
      <c r="K46" s="51">
        <v>46286</v>
      </c>
      <c r="L46" s="51">
        <v>46286</v>
      </c>
      <c r="M46" s="27">
        <f>L46-K46+1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Diagrama_Gantt_WBS</vt:lpstr>
      <vt:lpstr>Gantt_y_Comparativa</vt:lpstr>
      <vt:lpstr>Gantt_Detalle_PRs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Vallejo</cp:lastModifiedBy>
  <dcterms:created xsi:type="dcterms:W3CDTF">2026-09-22T10:05:30Z</dcterms:created>
  <dcterms:modified xsi:type="dcterms:W3CDTF">2026-10-12T11:03:46Z</dcterms:modified>
</cp:coreProperties>
</file>